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2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venue" sheetId="2" state="visible" r:id="rId2"/>
    <sheet xmlns:r="http://schemas.openxmlformats.org/officeDocument/2006/relationships" name="Opex" sheetId="3" state="visible" r:id="rId3"/>
    <sheet xmlns:r="http://schemas.openxmlformats.org/officeDocument/2006/relationships" name="Capex" sheetId="4" state="visible" r:id="rId4"/>
    <sheet xmlns:r="http://schemas.openxmlformats.org/officeDocument/2006/relationships" name="Fund Allocation" sheetId="5" state="visible" r:id="rId5"/>
    <sheet xmlns:r="http://schemas.openxmlformats.org/officeDocument/2006/relationships" name="Go-to-Market" sheetId="6" state="visible" r:id="rId6"/>
    <sheet xmlns:r="http://schemas.openxmlformats.org/officeDocument/2006/relationships" name="Equity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0.0%"/>
    <numFmt numFmtId="166" formatCode="0.0\ &quot;months&quot;"/>
    <numFmt numFmtId="167" formatCode="\$#,##0.00"/>
    <numFmt numFmtId="168" formatCode="\$#,##0.0000"/>
    <numFmt numFmtId="169" formatCode="$#,##0"/>
  </numFmts>
  <fonts count="9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2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sz val="11"/>
    </font>
    <font>
      <b val="1"/>
    </font>
    <font>
      <b val="1"/>
      <color rgb="00FFFFFF"/>
    </font>
    <font>
      <b val="1"/>
      <sz val="12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3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168" fontId="0" fillId="0" borderId="0" pivotButton="0" quotePrefix="0" xfId="0"/>
    <xf numFmtId="0" fontId="6" fillId="0" borderId="0" pivotButton="0" quotePrefix="0" xfId="0"/>
    <xf numFmtId="0" fontId="7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8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B7" sqref="B7"/>
    </sheetView>
  </sheetViews>
  <sheetFormatPr baseColWidth="8" defaultRowHeight="14.5"/>
  <cols>
    <col width="30" customWidth="1" min="1" max="1"/>
    <col width="20" customWidth="1" min="2" max="2"/>
    <col width="40" customWidth="1" min="3" max="3"/>
  </cols>
  <sheetData>
    <row r="1" ht="18.5" customHeight="1">
      <c r="A1" s="1" t="inlineStr">
        <is>
          <t>Year 1 Financial Summary</t>
        </is>
      </c>
    </row>
    <row r="3" ht="15.5" customHeight="1">
      <c r="A3" s="2" t="inlineStr">
        <is>
          <t>Profit &amp; Loss</t>
        </is>
      </c>
    </row>
    <row r="4">
      <c r="A4" t="inlineStr">
        <is>
          <t>Revenue</t>
        </is>
      </c>
      <c r="B4" s="3">
        <f>Revenue!K7</f>
        <v/>
      </c>
      <c r="C4" t="inlineStr">
        <is>
          <t>From Revenue sheet</t>
        </is>
      </c>
    </row>
    <row r="5">
      <c r="A5" t="inlineStr">
        <is>
          <t>Operating Expenses</t>
        </is>
      </c>
      <c r="B5" s="3">
        <f>Opex!H23</f>
        <v/>
      </c>
      <c r="C5" t="inlineStr">
        <is>
          <t>From Opex sheet (post-funding)</t>
        </is>
      </c>
    </row>
    <row r="6">
      <c r="A6" t="inlineStr">
        <is>
          <t>Capital Expenses</t>
        </is>
      </c>
      <c r="B6" s="3">
        <f>Capex!F8</f>
        <v/>
      </c>
      <c r="C6" t="inlineStr">
        <is>
          <t>From Capex sheet</t>
        </is>
      </c>
    </row>
    <row r="7">
      <c r="A7" t="inlineStr">
        <is>
          <t>Total Expenses</t>
        </is>
      </c>
      <c r="B7" s="3">
        <f>B5+B6</f>
        <v/>
      </c>
    </row>
    <row r="8">
      <c r="A8" s="4" t="inlineStr">
        <is>
          <t>Profit</t>
        </is>
      </c>
      <c r="B8" s="5">
        <f>B4-B7</f>
        <v/>
      </c>
    </row>
    <row r="9">
      <c r="A9" t="inlineStr">
        <is>
          <t>Profit Margin</t>
        </is>
      </c>
      <c r="B9" s="6">
        <f>B8/B4</f>
        <v/>
      </c>
    </row>
    <row r="11" ht="15.5" customHeight="1">
      <c r="A11" s="2" t="inlineStr">
        <is>
          <t>Key Metrics</t>
        </is>
      </c>
    </row>
    <row r="12">
      <c r="A12" t="inlineStr">
        <is>
          <t>Monthly Burn (pre-funding)</t>
        </is>
      </c>
      <c r="B12" s="3">
        <f>Opex!G7</f>
        <v/>
      </c>
      <c r="C12" t="inlineStr">
        <is>
          <t>Infrastructure only</t>
        </is>
      </c>
    </row>
    <row r="13">
      <c r="A13" t="inlineStr">
        <is>
          <t>Monthly Burn (post-funding)</t>
        </is>
      </c>
      <c r="B13" s="3">
        <f>B5/12</f>
        <v/>
      </c>
      <c r="C13" t="inlineStr">
        <is>
          <t>Full team</t>
        </is>
      </c>
    </row>
    <row r="14">
      <c r="A14" t="inlineStr">
        <is>
          <t>Runway with $500K</t>
        </is>
      </c>
      <c r="B14" s="7">
        <f>500000/B13</f>
        <v/>
      </c>
      <c r="C14" t="inlineStr">
        <is>
          <t>$500K ÷ monthly burn</t>
        </is>
      </c>
    </row>
    <row r="15">
      <c r="A15" t="inlineStr">
        <is>
          <t>Break-even</t>
        </is>
      </c>
      <c r="B15" t="inlineStr">
        <is>
          <t>Month 1</t>
        </is>
      </c>
      <c r="C15" t="inlineStr">
        <is>
          <t>Profitable from Day 1</t>
        </is>
      </c>
    </row>
    <row r="17" ht="15.5" customHeight="1">
      <c r="A17" s="2" t="inlineStr">
        <is>
          <t>Team Structure</t>
        </is>
      </c>
    </row>
    <row r="18">
      <c r="A18" t="inlineStr">
        <is>
          <t>Pre-Funding (3 founders)</t>
        </is>
      </c>
      <c r="B18" t="inlineStr">
        <is>
          <t>Unpaid</t>
        </is>
      </c>
      <c r="C18" t="inlineStr">
        <is>
          <t>Month 0 to funding</t>
        </is>
      </c>
    </row>
    <row r="19">
      <c r="A19" t="inlineStr">
        <is>
          <t>Post-Funding (6 people)</t>
        </is>
      </c>
      <c r="B19" t="inlineStr">
        <is>
          <t>$67,000/month</t>
        </is>
      </c>
      <c r="C19" t="inlineStr">
        <is>
          <t>CEO, COO, CTO, Blockchain, Marketing, Content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L6" sqref="L6"/>
    </sheetView>
  </sheetViews>
  <sheetFormatPr baseColWidth="8" defaultRowHeight="14.5"/>
  <cols>
    <col width="18" customWidth="1" min="1" max="1"/>
    <col width="15" customWidth="1" min="2" max="2"/>
    <col width="12" customWidth="1" min="3" max="3"/>
    <col width="15" customWidth="1" min="4" max="4"/>
    <col width="18" customWidth="1" min="5" max="5"/>
    <col width="15" customWidth="1" min="6" max="7"/>
    <col width="10" customWidth="1" min="8" max="8"/>
    <col width="15" customWidth="1" min="9" max="9"/>
    <col width="18" customWidth="1" min="10" max="11"/>
    <col width="45" customWidth="1" min="12" max="12"/>
  </cols>
  <sheetData>
    <row r="1">
      <c r="A1" s="8" t="inlineStr">
        <is>
          <t>Category</t>
        </is>
      </c>
      <c r="B1" s="8" t="inlineStr">
        <is>
          <t>Base Users</t>
        </is>
      </c>
      <c r="C1" s="8" t="inlineStr">
        <is>
          <t>Capture Rate</t>
        </is>
      </c>
      <c r="D1" s="8" t="inlineStr">
        <is>
          <t>Active Users</t>
        </is>
      </c>
      <c r="E1" s="8" t="inlineStr">
        <is>
          <t>Trx/Month per User</t>
        </is>
      </c>
      <c r="F1" s="8" t="inlineStr">
        <is>
          <t>Total Trx/Month</t>
        </is>
      </c>
      <c r="G1" s="8" t="inlineStr">
        <is>
          <t>Avg Trx Value ($)</t>
        </is>
      </c>
      <c r="H1" s="8" t="inlineStr">
        <is>
          <t>Fee (%)</t>
        </is>
      </c>
      <c r="I1" s="8" t="inlineStr">
        <is>
          <t>Fee per Trx ($)</t>
        </is>
      </c>
      <c r="J1" s="8" t="inlineStr">
        <is>
          <t>Monthly Revenue ($)</t>
        </is>
      </c>
      <c r="K1" s="8" t="inlineStr">
        <is>
          <t>Annual Revenue ($)</t>
        </is>
      </c>
      <c r="L1" s="8" t="inlineStr">
        <is>
          <t>Reference</t>
        </is>
      </c>
    </row>
    <row r="2">
      <c r="A2" s="4" t="inlineStr">
        <is>
          <t>Year 1 (1% Capture)</t>
        </is>
      </c>
    </row>
    <row r="3">
      <c r="A3" t="inlineStr">
        <is>
          <t>Tasks</t>
        </is>
      </c>
      <c r="B3" t="n">
        <v>832000</v>
      </c>
      <c r="C3" s="6" t="n">
        <v>0.01</v>
      </c>
      <c r="D3" s="9">
        <f>B3*C3</f>
        <v/>
      </c>
      <c r="E3" t="n">
        <v>0.2</v>
      </c>
      <c r="F3" s="9">
        <f>D3*E3</f>
        <v/>
      </c>
      <c r="G3" s="3" t="n">
        <v>100</v>
      </c>
      <c r="H3" s="6" t="n">
        <v>0.025</v>
      </c>
      <c r="I3" s="10">
        <f>G3*H3</f>
        <v/>
      </c>
      <c r="J3" s="3">
        <f>F3*I3</f>
        <v/>
      </c>
      <c r="K3" s="3">
        <f>J3*12</f>
        <v/>
      </c>
      <c r="L3" t="inlineStr">
        <is>
          <t>Upwork 832K active clients (Q4 2024)</t>
        </is>
      </c>
    </row>
    <row r="4">
      <c r="A4" t="inlineStr">
        <is>
          <t>Services</t>
        </is>
      </c>
      <c r="B4" t="n">
        <v>832000</v>
      </c>
      <c r="C4" s="6" t="n">
        <v>0.01</v>
      </c>
      <c r="D4" s="9">
        <f>B4*C4</f>
        <v/>
      </c>
      <c r="E4" t="n">
        <v>0.2</v>
      </c>
      <c r="F4" s="9">
        <f>D4*E4</f>
        <v/>
      </c>
      <c r="G4" s="3" t="n">
        <v>100</v>
      </c>
      <c r="H4" s="6" t="n">
        <v>0.025</v>
      </c>
      <c r="I4" s="10">
        <f>G4*H4</f>
        <v/>
      </c>
      <c r="J4" s="3">
        <f>F4*I4</f>
        <v/>
      </c>
      <c r="K4" s="3">
        <f>J4*12</f>
        <v/>
      </c>
      <c r="L4" t="inlineStr">
        <is>
          <t>Upwork 832K active clients (Q4 2024)</t>
        </is>
      </c>
    </row>
    <row r="5">
      <c r="A5" t="inlineStr">
        <is>
          <t>Goods</t>
        </is>
      </c>
      <c r="B5" t="n">
        <v>134000000</v>
      </c>
      <c r="C5" s="6" t="n">
        <v>0.001</v>
      </c>
      <c r="D5" s="9">
        <f>B5*C5</f>
        <v/>
      </c>
      <c r="E5" t="n">
        <v>1.2</v>
      </c>
      <c r="F5" s="9">
        <f>D5*E5</f>
        <v/>
      </c>
      <c r="G5" s="3" t="n">
        <v>50</v>
      </c>
      <c r="H5" s="6" t="n">
        <v>0.01</v>
      </c>
      <c r="I5" s="10">
        <f>G5*H5</f>
        <v/>
      </c>
      <c r="J5" s="3">
        <f>F5*I5</f>
        <v/>
      </c>
      <c r="K5" s="3">
        <f>J5*12</f>
        <v/>
      </c>
      <c r="L5" t="inlineStr">
        <is>
          <t>eBay 134M active buyers (2024 Annual Report)</t>
        </is>
      </c>
    </row>
    <row r="6">
      <c r="A6" t="inlineStr">
        <is>
          <t>Secret Society</t>
        </is>
      </c>
      <c r="B6" t="n">
        <v>832</v>
      </c>
      <c r="C6" s="6" t="n">
        <v>1</v>
      </c>
      <c r="D6" s="9">
        <f>B6*C6</f>
        <v/>
      </c>
      <c r="E6" t="n">
        <v>1</v>
      </c>
      <c r="F6" s="9">
        <f>D6*E6</f>
        <v/>
      </c>
      <c r="G6" s="3" t="n">
        <v>10</v>
      </c>
      <c r="H6" s="6" t="n">
        <v>1</v>
      </c>
      <c r="I6" s="10">
        <f>G6*H6</f>
        <v/>
      </c>
      <c r="J6" s="3">
        <f>F6*I6</f>
        <v/>
      </c>
      <c r="K6" s="3">
        <f>J6*12</f>
        <v/>
      </c>
      <c r="L6" t="inlineStr">
        <is>
          <t>Fixed monthly subscription to treasury wallet</t>
        </is>
      </c>
    </row>
    <row r="7">
      <c r="A7" s="4" t="inlineStr">
        <is>
          <t>Year 1 Total</t>
        </is>
      </c>
      <c r="C7" s="6" t="n"/>
      <c r="D7" s="9" t="n"/>
      <c r="F7" s="9">
        <f>SUM(F3:F6)</f>
        <v/>
      </c>
      <c r="G7" s="3" t="n"/>
      <c r="H7" s="6" t="n"/>
      <c r="I7" s="10" t="n"/>
      <c r="J7" s="3">
        <f>SUM(J3:J6)</f>
        <v/>
      </c>
      <c r="K7" s="3">
        <f>SUM(K3:K6)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3"/>
  <sheetViews>
    <sheetView tabSelected="1" workbookViewId="0">
      <selection activeCell="F22" sqref="F22"/>
    </sheetView>
  </sheetViews>
  <sheetFormatPr baseColWidth="8" defaultRowHeight="14.5"/>
  <cols>
    <col width="15" customWidth="1" min="1" max="1"/>
    <col width="25" customWidth="1" min="2" max="2"/>
    <col width="18" customWidth="1" min="3" max="3"/>
    <col width="12" customWidth="1" min="4" max="6"/>
    <col width="18" customWidth="1" min="7" max="8"/>
    <col width="40" customWidth="1" min="9" max="9"/>
  </cols>
  <sheetData>
    <row r="1">
      <c r="A1" s="8" t="inlineStr">
        <is>
          <t>Category</t>
        </is>
      </c>
      <c r="B1" s="8" t="inlineStr">
        <is>
          <t>Item</t>
        </is>
      </c>
      <c r="C1" s="8" t="inlineStr">
        <is>
          <t>Cost per Unit ($)</t>
        </is>
      </c>
      <c r="D1" s="8" t="inlineStr">
        <is>
          <t>Quantity</t>
        </is>
      </c>
      <c r="E1" s="8" t="inlineStr">
        <is>
          <t>Unit</t>
        </is>
      </c>
      <c r="F1" s="8" t="inlineStr">
        <is>
          <t>Frequency</t>
        </is>
      </c>
      <c r="G1" s="8" t="inlineStr">
        <is>
          <t>Monthly Total ($)</t>
        </is>
      </c>
      <c r="H1" s="8" t="inlineStr">
        <is>
          <t>Annual Total ($)</t>
        </is>
      </c>
      <c r="I1" s="8" t="inlineStr">
        <is>
          <t>Reference</t>
        </is>
      </c>
    </row>
    <row r="2">
      <c r="A2" s="11" t="inlineStr">
        <is>
          <t>PRE-FUNDING (Month 0 to Funding)</t>
        </is>
      </c>
    </row>
    <row r="3">
      <c r="A3" t="inlineStr">
        <is>
          <t>Infrastructure</t>
        </is>
      </c>
      <c r="B3" t="inlineStr">
        <is>
          <t>AWS ECR</t>
        </is>
      </c>
      <c r="C3" s="12" t="n">
        <v>0.0035</v>
      </c>
      <c r="D3" s="9" t="n">
        <v>8320</v>
      </c>
      <c r="E3" t="inlineStr">
        <is>
          <t>User</t>
        </is>
      </c>
      <c r="F3" t="inlineStr">
        <is>
          <t>Month</t>
        </is>
      </c>
      <c r="G3" s="3">
        <f>C3*D3</f>
        <v/>
      </c>
      <c r="H3" s="3">
        <f>G3*12</f>
        <v/>
      </c>
      <c r="I3" t="inlineStr">
        <is>
          <t>AWS pricing: $0.0035/user/mo</t>
        </is>
      </c>
    </row>
    <row r="4">
      <c r="B4" t="inlineStr">
        <is>
          <t>AWS DB</t>
        </is>
      </c>
      <c r="C4" s="12" t="n">
        <v>0.0015</v>
      </c>
      <c r="D4" s="9" t="n">
        <v>8320</v>
      </c>
      <c r="E4" t="inlineStr">
        <is>
          <t>User</t>
        </is>
      </c>
      <c r="F4" t="inlineStr">
        <is>
          <t>Month</t>
        </is>
      </c>
      <c r="G4" s="3">
        <f>C4*D4</f>
        <v/>
      </c>
      <c r="H4" s="3">
        <f>G4*12</f>
        <v/>
      </c>
      <c r="I4" t="inlineStr">
        <is>
          <t>AWS pricing: $0.0015/user/mo</t>
        </is>
      </c>
    </row>
    <row r="5">
      <c r="A5" t="inlineStr">
        <is>
          <t>Blockchain</t>
        </is>
      </c>
      <c r="B5" t="inlineStr">
        <is>
          <t>Network fee</t>
        </is>
      </c>
      <c r="C5" s="12" t="n">
        <v>0.0007</v>
      </c>
      <c r="D5" s="9" t="n">
        <v>168128</v>
      </c>
      <c r="E5" t="inlineStr">
        <is>
          <t>Trx</t>
        </is>
      </c>
      <c r="F5" t="inlineStr">
        <is>
          <t>Month</t>
        </is>
      </c>
      <c r="G5" s="3">
        <f>C5*D5</f>
        <v/>
      </c>
      <c r="H5" s="3">
        <f>G5*12</f>
        <v/>
      </c>
      <c r="I5" t="inlineStr">
        <is>
          <t>Solana tx fee × 70 safety margin</t>
        </is>
      </c>
    </row>
    <row r="6">
      <c r="B6" t="inlineStr">
        <is>
          <t>Wallet fund</t>
        </is>
      </c>
      <c r="C6" s="12" t="n">
        <v>0.14</v>
      </c>
      <c r="D6" s="9" t="n">
        <v>4000</v>
      </c>
      <c r="E6" t="inlineStr">
        <is>
          <t>Trx</t>
        </is>
      </c>
      <c r="F6" t="inlineStr">
        <is>
          <t>Month</t>
        </is>
      </c>
      <c r="G6" s="3">
        <f>C6*D6</f>
        <v/>
      </c>
      <c r="H6" s="3">
        <f>G6*12</f>
        <v/>
      </c>
      <c r="I6" t="inlineStr">
        <is>
          <t>SOL for wallet operations</t>
        </is>
      </c>
    </row>
    <row r="7">
      <c r="A7" s="4" t="inlineStr">
        <is>
          <t>Pre-Funding Total</t>
        </is>
      </c>
      <c r="C7" s="12" t="n"/>
      <c r="D7" s="9" t="n"/>
      <c r="G7" s="3">
        <f>SUM(G3:G6)</f>
        <v/>
      </c>
      <c r="H7" s="3">
        <f>SUM(H3:H6)</f>
        <v/>
      </c>
    </row>
    <row r="8">
      <c r="C8" s="12" t="n"/>
      <c r="D8" s="9" t="n"/>
      <c r="G8" s="3" t="n"/>
      <c r="H8" s="3" t="n"/>
    </row>
    <row r="9">
      <c r="A9" s="11" t="inlineStr">
        <is>
          <t>POST-FUNDING (Year 1)</t>
        </is>
      </c>
      <c r="C9" s="12" t="n"/>
      <c r="D9" s="9" t="n"/>
      <c r="G9" s="3" t="n"/>
      <c r="H9" s="3" t="n"/>
    </row>
    <row r="10">
      <c r="A10" t="inlineStr">
        <is>
          <t>Infrastructure</t>
        </is>
      </c>
      <c r="B10" t="inlineStr">
        <is>
          <t>AWS ECR</t>
        </is>
      </c>
      <c r="C10" s="12" t="n">
        <v>0.0035</v>
      </c>
      <c r="D10" s="9" t="n">
        <v>8320</v>
      </c>
      <c r="E10" t="inlineStr">
        <is>
          <t>User</t>
        </is>
      </c>
      <c r="F10" t="inlineStr">
        <is>
          <t>Month</t>
        </is>
      </c>
      <c r="G10" s="3">
        <f>C10*D10</f>
        <v/>
      </c>
      <c r="H10" s="3">
        <f>G10*12</f>
        <v/>
      </c>
    </row>
    <row r="11">
      <c r="B11" t="inlineStr">
        <is>
          <t>AWS DB</t>
        </is>
      </c>
      <c r="C11" s="12" t="n">
        <v>0.0015</v>
      </c>
      <c r="D11" s="9" t="n">
        <v>8320</v>
      </c>
      <c r="E11" t="inlineStr">
        <is>
          <t>User</t>
        </is>
      </c>
      <c r="F11" t="inlineStr">
        <is>
          <t>Month</t>
        </is>
      </c>
      <c r="G11" s="3">
        <f>C11*D11</f>
        <v/>
      </c>
      <c r="H11" s="3">
        <f>G11*12</f>
        <v/>
      </c>
    </row>
    <row r="12">
      <c r="A12" t="inlineStr">
        <is>
          <t>Blockchain</t>
        </is>
      </c>
      <c r="B12" t="inlineStr">
        <is>
          <t>Network fee</t>
        </is>
      </c>
      <c r="C12" s="12" t="n">
        <v>0.0007</v>
      </c>
      <c r="D12" s="9" t="n">
        <v>168128</v>
      </c>
      <c r="E12" t="inlineStr">
        <is>
          <t>Trx</t>
        </is>
      </c>
      <c r="F12" t="inlineStr">
        <is>
          <t>Month</t>
        </is>
      </c>
      <c r="G12" s="3">
        <f>C12*D12</f>
        <v/>
      </c>
      <c r="H12" s="3">
        <f>G12*12</f>
        <v/>
      </c>
    </row>
    <row r="13">
      <c r="B13" t="inlineStr">
        <is>
          <t>Wallet fund</t>
        </is>
      </c>
      <c r="C13" s="12" t="n">
        <v>0.14</v>
      </c>
      <c r="D13" s="9" t="n">
        <v>4000</v>
      </c>
      <c r="E13" t="inlineStr">
        <is>
          <t>Trx</t>
        </is>
      </c>
      <c r="F13" t="inlineStr">
        <is>
          <t>Month</t>
        </is>
      </c>
      <c r="G13" s="3">
        <f>C13*D13</f>
        <v/>
      </c>
      <c r="H13" s="3">
        <f>G13*12</f>
        <v/>
      </c>
    </row>
    <row r="14">
      <c r="A14" t="inlineStr">
        <is>
          <t>Salary</t>
        </is>
      </c>
      <c r="B14" t="inlineStr">
        <is>
          <t>CEO (Ghiffary)</t>
        </is>
      </c>
      <c r="C14" s="12" t="n">
        <v>12500</v>
      </c>
      <c r="D14" s="9" t="n">
        <v>1</v>
      </c>
      <c r="E14" t="inlineStr">
        <is>
          <t>Person</t>
        </is>
      </c>
      <c r="F14" t="inlineStr">
        <is>
          <t>Month</t>
        </is>
      </c>
      <c r="G14" s="3">
        <f>C14*D14</f>
        <v/>
      </c>
      <c r="H14" s="3">
        <f>G14*12</f>
        <v/>
      </c>
      <c r="I14" t="inlineStr">
        <is>
          <t>Founder salary</t>
        </is>
      </c>
    </row>
    <row r="15">
      <c r="B15" t="inlineStr">
        <is>
          <t>COO (Linh)</t>
        </is>
      </c>
      <c r="C15" s="12" t="n">
        <v>12000</v>
      </c>
      <c r="D15" s="9" t="n">
        <v>1</v>
      </c>
      <c r="E15" t="inlineStr">
        <is>
          <t>Person</t>
        </is>
      </c>
      <c r="F15" t="inlineStr">
        <is>
          <t>Month</t>
        </is>
      </c>
      <c r="G15" s="3">
        <f>C15*D15</f>
        <v/>
      </c>
      <c r="H15" s="3">
        <f>G15*12</f>
        <v/>
      </c>
      <c r="I15" t="inlineStr">
        <is>
          <t>Operations + QA</t>
        </is>
      </c>
    </row>
    <row r="16">
      <c r="B16" t="inlineStr">
        <is>
          <t>CTO (co-founder)</t>
        </is>
      </c>
      <c r="C16" s="12" t="n">
        <v>15000</v>
      </c>
      <c r="D16" s="9" t="n">
        <v>1</v>
      </c>
      <c r="E16" t="inlineStr">
        <is>
          <t>Person</t>
        </is>
      </c>
      <c r="F16" t="inlineStr">
        <is>
          <t>Month</t>
        </is>
      </c>
      <c r="G16" s="3">
        <f>C16*D16</f>
        <v/>
      </c>
      <c r="H16" s="3">
        <f>G16*12</f>
        <v/>
      </c>
      <c r="I16" t="inlineStr">
        <is>
          <t>Technical leadership</t>
        </is>
      </c>
    </row>
    <row r="17">
      <c r="B17" t="inlineStr">
        <is>
          <t>Lead Blockchain (Renard)</t>
        </is>
      </c>
      <c r="C17" s="12" t="n">
        <v>10000</v>
      </c>
      <c r="D17" s="9" t="n">
        <v>1</v>
      </c>
      <c r="E17" t="inlineStr">
        <is>
          <t>Person</t>
        </is>
      </c>
      <c r="F17" t="inlineStr">
        <is>
          <t>Month</t>
        </is>
      </c>
      <c r="G17" s="3">
        <f>C17*D17</f>
        <v/>
      </c>
      <c r="H17" s="3">
        <f>G17*12</f>
        <v/>
      </c>
      <c r="I17" t="inlineStr">
        <is>
          <t>Smart contract + AWS</t>
        </is>
      </c>
    </row>
    <row r="18">
      <c r="B18" t="inlineStr">
        <is>
          <t>Senior Marketing Lead</t>
        </is>
      </c>
      <c r="C18" s="12" t="n">
        <v>15000</v>
      </c>
      <c r="D18" s="9" t="n">
        <v>1</v>
      </c>
      <c r="E18" t="inlineStr">
        <is>
          <t>Person</t>
        </is>
      </c>
      <c r="F18" t="inlineStr">
        <is>
          <t>Month</t>
        </is>
      </c>
      <c r="G18" s="3">
        <f>C18*D18</f>
        <v/>
      </c>
      <c r="H18" s="3">
        <f>G18*12</f>
        <v/>
      </c>
      <c r="I18" t="inlineStr">
        <is>
          <t>Brand + Growth combined</t>
        </is>
      </c>
    </row>
    <row r="19">
      <c r="B19" t="inlineStr">
        <is>
          <t>Freelance Content Creator</t>
        </is>
      </c>
      <c r="C19" s="12" t="n">
        <v>2500</v>
      </c>
      <c r="D19" s="9" t="n">
        <v>1</v>
      </c>
      <c r="E19" t="inlineStr">
        <is>
          <t>Person</t>
        </is>
      </c>
      <c r="F19" t="inlineStr">
        <is>
          <t>Month</t>
        </is>
      </c>
      <c r="G19" s="3">
        <f>C19*D19</f>
        <v/>
      </c>
      <c r="H19" s="3">
        <f>G19*12</f>
        <v/>
      </c>
      <c r="I19" t="inlineStr">
        <is>
          <t>Under Marketing Lead control</t>
        </is>
      </c>
    </row>
    <row r="20">
      <c r="A20" t="inlineStr">
        <is>
          <t>Office</t>
        </is>
      </c>
      <c r="B20" t="inlineStr">
        <is>
          <t>Contact person</t>
        </is>
      </c>
      <c r="C20" s="12" t="n">
        <v>25</v>
      </c>
      <c r="D20" s="9" t="n">
        <v>1</v>
      </c>
      <c r="E20" t="inlineStr">
        <is>
          <t>Company</t>
        </is>
      </c>
      <c r="F20" t="inlineStr">
        <is>
          <t>Month</t>
        </is>
      </c>
      <c r="G20" s="3">
        <f>C20*D20</f>
        <v/>
      </c>
      <c r="H20" s="3">
        <f>G20*12</f>
        <v/>
      </c>
      <c r="I20" t="inlineStr">
        <is>
          <t>Estonia e-residency</t>
        </is>
      </c>
    </row>
    <row r="21">
      <c r="B21" t="inlineStr">
        <is>
          <t>Rent exemption</t>
        </is>
      </c>
      <c r="C21" s="12" t="n">
        <v>0.238</v>
      </c>
      <c r="D21" s="9" t="n">
        <v>8320</v>
      </c>
      <c r="E21" t="inlineStr">
        <is>
          <t>User</t>
        </is>
      </c>
      <c r="F21" t="inlineStr">
        <is>
          <t>Month</t>
        </is>
      </c>
      <c r="G21" s="3">
        <f>C21*D21</f>
        <v/>
      </c>
      <c r="H21" s="3">
        <f>G21*12</f>
        <v/>
      </c>
      <c r="I21" t="inlineStr">
        <is>
          <t>Solana rent per account</t>
        </is>
      </c>
    </row>
    <row r="22">
      <c r="A22" t="inlineStr">
        <is>
          <t>Product</t>
        </is>
      </c>
      <c r="B22" t="inlineStr">
        <is>
          <t>iOS App Store fee</t>
        </is>
      </c>
      <c r="C22" s="12" t="n">
        <v>299</v>
      </c>
      <c r="D22" s="9" t="n">
        <v>1</v>
      </c>
      <c r="E22" t="inlineStr">
        <is>
          <t>Year</t>
        </is>
      </c>
      <c r="F22" t="inlineStr">
        <is>
          <t>Annual</t>
        </is>
      </c>
      <c r="G22" s="3">
        <f>C22*D22/12</f>
        <v/>
      </c>
      <c r="H22" s="3">
        <f>C22*D22</f>
        <v/>
      </c>
      <c r="I22" t="inlineStr">
        <is>
          <t>Apple Developer Program (business account)</t>
        </is>
      </c>
    </row>
    <row r="23">
      <c r="A23" s="13" t="inlineStr">
        <is>
          <t>Post-Funding Total</t>
        </is>
      </c>
      <c r="C23" s="12" t="n"/>
      <c r="D23" s="9" t="n"/>
      <c r="G23" s="3">
        <f>SUM(G10:G22)</f>
        <v/>
      </c>
      <c r="H23" s="3">
        <f>SUM(H10:H22)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D2" sqref="D2"/>
    </sheetView>
  </sheetViews>
  <sheetFormatPr baseColWidth="8" defaultRowHeight="14.5"/>
  <cols>
    <col width="15" customWidth="1" min="1" max="1"/>
    <col width="25" customWidth="1" min="2" max="2"/>
    <col width="18" customWidth="1" min="3" max="3"/>
    <col width="12" customWidth="1" min="4" max="4"/>
    <col width="10" customWidth="1" min="5" max="5"/>
    <col width="15" customWidth="1" min="6" max="6"/>
    <col width="40" customWidth="1" min="7" max="7"/>
  </cols>
  <sheetData>
    <row r="1">
      <c r="A1" s="8" t="inlineStr">
        <is>
          <t>Category</t>
        </is>
      </c>
      <c r="B1" s="8" t="inlineStr">
        <is>
          <t>Item</t>
        </is>
      </c>
      <c r="C1" s="8" t="inlineStr">
        <is>
          <t>Cost per Unit ($)</t>
        </is>
      </c>
      <c r="D1" s="8" t="inlineStr">
        <is>
          <t>Quantity</t>
        </is>
      </c>
      <c r="E1" s="8" t="inlineStr">
        <is>
          <t>Unit</t>
        </is>
      </c>
      <c r="F1" s="8" t="inlineStr">
        <is>
          <t>Total ($)</t>
        </is>
      </c>
      <c r="G1" s="8" t="inlineStr">
        <is>
          <t>Reference</t>
        </is>
      </c>
    </row>
    <row r="2">
      <c r="A2" t="inlineStr">
        <is>
          <t>Office</t>
        </is>
      </c>
      <c r="B2" t="inlineStr">
        <is>
          <t>E-residency</t>
        </is>
      </c>
      <c r="C2" s="10" t="n">
        <v>150</v>
      </c>
      <c r="D2" s="9" t="n">
        <v>2</v>
      </c>
      <c r="E2" t="inlineStr">
        <is>
          <t>Person</t>
        </is>
      </c>
      <c r="F2" s="3">
        <f>C2*D2</f>
        <v/>
      </c>
      <c r="G2" t="inlineStr">
        <is>
          <t>Estonia e-residency program</t>
        </is>
      </c>
    </row>
    <row r="3">
      <c r="B3" t="inlineStr">
        <is>
          <t>Company registration</t>
        </is>
      </c>
      <c r="C3" s="10" t="n">
        <v>265</v>
      </c>
      <c r="D3" s="9" t="n">
        <v>1</v>
      </c>
      <c r="E3" t="inlineStr">
        <is>
          <t>Company</t>
        </is>
      </c>
      <c r="F3" s="3">
        <f>C3*D3</f>
        <v/>
      </c>
      <c r="G3" t="inlineStr">
        <is>
          <t>Estonia business registration</t>
        </is>
      </c>
    </row>
    <row r="4">
      <c r="A4" t="inlineStr">
        <is>
          <t>Wallet</t>
        </is>
      </c>
      <c r="B4" t="inlineStr">
        <is>
          <t>Tangem Wallets (3 cards)</t>
        </is>
      </c>
      <c r="C4" s="10" t="n">
        <v>81.36</v>
      </c>
      <c r="D4" s="9" t="n">
        <v>1</v>
      </c>
      <c r="E4" t="inlineStr">
        <is>
          <t>Bundle</t>
        </is>
      </c>
      <c r="F4" s="3">
        <f>C4*D4</f>
        <v/>
      </c>
      <c r="G4" t="inlineStr">
        <is>
          <t>Tangem official pricing</t>
        </is>
      </c>
    </row>
    <row r="5">
      <c r="B5" t="inlineStr">
        <is>
          <t>Trezor Safe 3</t>
        </is>
      </c>
      <c r="C5" s="10" t="n">
        <v>68.68000000000001</v>
      </c>
      <c r="D5" s="9" t="n">
        <v>1</v>
      </c>
      <c r="E5" t="inlineStr">
        <is>
          <t>Item</t>
        </is>
      </c>
      <c r="F5" s="3">
        <f>C5*D5</f>
        <v/>
      </c>
      <c r="G5" t="inlineStr">
        <is>
          <t>Trezor official pricing</t>
        </is>
      </c>
    </row>
    <row r="6">
      <c r="A6" t="inlineStr">
        <is>
          <t>Infrastructure</t>
        </is>
      </c>
      <c r="B6" t="inlineStr">
        <is>
          <t>Mainnet deployment</t>
        </is>
      </c>
      <c r="C6" s="10" t="n">
        <v>172</v>
      </c>
      <c r="D6" s="9" t="n">
        <v>1</v>
      </c>
      <c r="E6" t="inlineStr">
        <is>
          <t>Item</t>
        </is>
      </c>
      <c r="F6" s="3">
        <f>C6*D6</f>
        <v/>
      </c>
      <c r="G6" t="inlineStr">
        <is>
          <t>Solana program deployment cost</t>
        </is>
      </c>
    </row>
    <row r="7">
      <c r="B7" t="inlineStr">
        <is>
          <t>Security audit</t>
        </is>
      </c>
      <c r="C7" s="10" t="n">
        <v>20000</v>
      </c>
      <c r="D7" s="9" t="n">
        <v>1</v>
      </c>
      <c r="E7" t="inlineStr">
        <is>
          <t>Item</t>
        </is>
      </c>
      <c r="F7" s="3">
        <f>C7*D7</f>
        <v/>
      </c>
      <c r="G7" t="inlineStr">
        <is>
          <t>Solana/Anchor audit market rate</t>
        </is>
      </c>
    </row>
    <row r="8">
      <c r="A8" s="4" t="inlineStr">
        <is>
          <t>Total Capex</t>
        </is>
      </c>
      <c r="C8" s="10" t="n"/>
      <c r="D8" s="9" t="n"/>
      <c r="F8" s="3">
        <f>SUM(F2:F7)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10" sqref="C10"/>
    </sheetView>
  </sheetViews>
  <sheetFormatPr baseColWidth="8" defaultRowHeight="14.5"/>
  <cols>
    <col width="30" customWidth="1" min="1" max="1"/>
    <col width="30" customWidth="1" min="2" max="2"/>
    <col width="15" customWidth="1" min="3" max="3"/>
    <col width="40" customWidth="1" min="4" max="4"/>
    <col width="50" customWidth="1" min="5" max="5"/>
  </cols>
  <sheetData>
    <row r="1">
      <c r="A1" s="14" t="inlineStr">
        <is>
          <t>Category</t>
        </is>
      </c>
      <c r="B1" s="14" t="inlineStr">
        <is>
          <t>Item</t>
        </is>
      </c>
      <c r="C1" s="14" t="inlineStr">
        <is>
          <t>Budget ($)</t>
        </is>
      </c>
      <c r="D1" s="14" t="inlineStr">
        <is>
          <t>Breakdown</t>
        </is>
      </c>
      <c r="E1" s="14" t="inlineStr">
        <is>
          <t>Reference</t>
        </is>
      </c>
    </row>
    <row r="2">
      <c r="A2" s="13" t="inlineStr">
        <is>
          <t>OPERATIONAL RUNWAY (6 months)</t>
        </is>
      </c>
      <c r="C2" s="15">
        <f>Opex!G23*6</f>
        <v/>
      </c>
      <c r="D2" t="inlineStr">
        <is>
          <t>6 months post-funding Opex</t>
        </is>
      </c>
      <c r="E2">
        <f>Opex!G23*6</f>
        <v/>
      </c>
    </row>
    <row r="3">
      <c r="C3" s="15" t="n"/>
    </row>
    <row r="4">
      <c r="A4" s="13" t="inlineStr">
        <is>
          <t>ONE-TIME SETUP</t>
        </is>
      </c>
      <c r="C4" s="15">
        <f>C5+C6</f>
        <v/>
      </c>
    </row>
    <row r="5">
      <c r="B5" t="inlineStr">
        <is>
          <t>Capex (from Capex sheet)</t>
        </is>
      </c>
      <c r="C5" s="15">
        <f>Capex!F8</f>
        <v/>
      </c>
      <c r="D5" t="inlineStr">
        <is>
          <t>E-residency, wallets, mainnet, security audit</t>
        </is>
      </c>
      <c r="E5">
        <f>Capex!F8</f>
        <v/>
      </c>
    </row>
    <row r="6">
      <c r="B6" t="inlineStr">
        <is>
          <t>iOS App Store fee</t>
        </is>
      </c>
      <c r="C6" s="15" t="n">
        <v>299</v>
      </c>
      <c r="D6" t="inlineStr">
        <is>
          <t>Apple Developer Program (business account)</t>
        </is>
      </c>
      <c r="E6" t="inlineStr">
        <is>
          <t>Annual fee for app publishing</t>
        </is>
      </c>
    </row>
    <row r="7">
      <c r="C7" s="15" t="n"/>
    </row>
    <row r="8">
      <c r="A8" s="13" t="inlineStr">
        <is>
          <t>INFRASTRUCTURE SCALING (12 months)</t>
        </is>
      </c>
      <c r="C8" s="15">
        <f>C9+C10</f>
        <v/>
      </c>
    </row>
    <row r="9">
      <c r="B9" t="inlineStr">
        <is>
          <t>AWS scaling buffer</t>
        </is>
      </c>
      <c r="C9" s="15" t="n">
        <v>15000</v>
      </c>
      <c r="D9" t="inlineStr">
        <is>
          <t>Scale from 8K to 50K users</t>
        </is>
      </c>
      <c r="E9" t="inlineStr">
        <is>
          <t>Current $42/mo → Target $250/mo + 6x safety margin</t>
        </is>
      </c>
    </row>
    <row r="10">
      <c r="B10" t="inlineStr">
        <is>
          <t>Network fees buffer</t>
        </is>
      </c>
      <c r="C10" s="15" t="n">
        <v>10000</v>
      </c>
      <c r="D10" t="inlineStr">
        <is>
          <t>Solana tx fee volatility</t>
        </is>
      </c>
      <c r="E10" t="inlineStr">
        <is>
          <t>Current $118/mo × 12 + 7x safety margin</t>
        </is>
      </c>
    </row>
    <row r="11">
      <c r="C11" s="15" t="n"/>
    </row>
    <row r="12">
      <c r="A12" s="13" t="inlineStr">
        <is>
          <t>PRODUCT DEVELOPMENT</t>
        </is>
      </c>
      <c r="C12" s="15">
        <f>C13</f>
        <v/>
      </c>
    </row>
    <row r="13">
      <c r="A13" s="4" t="n"/>
      <c r="B13" t="inlineStr">
        <is>
          <t>Security audit follow-up</t>
        </is>
      </c>
      <c r="C13" s="15" t="n">
        <v>15000</v>
      </c>
      <c r="D13" t="inlineStr">
        <is>
          <t>Post-launch security audits</t>
        </is>
      </c>
      <c r="E13" t="inlineStr">
        <is>
          <t>Initial audit $20K, need follow-up audits</t>
        </is>
      </c>
    </row>
    <row r="14">
      <c r="C14" s="15" t="n"/>
    </row>
    <row r="15">
      <c r="A15" s="13" t="inlineStr">
        <is>
          <t>COMPLIANCE &amp; LEGAL</t>
        </is>
      </c>
      <c r="C15" s="15">
        <f>C16</f>
        <v/>
      </c>
    </row>
    <row r="16">
      <c r="B16" t="inlineStr">
        <is>
          <t>Estonia e-residency renewal</t>
        </is>
      </c>
      <c r="C16" s="15" t="n">
        <v>300</v>
      </c>
      <c r="D16" t="inlineStr">
        <is>
          <t>Annual renewal fee</t>
        </is>
      </c>
      <c r="E16" t="inlineStr">
        <is>
          <t>Current Capex item</t>
        </is>
      </c>
    </row>
    <row r="17">
      <c r="C17" s="15" t="n"/>
    </row>
    <row r="18">
      <c r="A18" s="13" t="inlineStr">
        <is>
          <t>CONTINGENCY BUFFER (15%)</t>
        </is>
      </c>
      <c r="C18" s="15">
        <f>500000-C2-C4-C8-C12-C15</f>
        <v/>
      </c>
      <c r="D18" t="inlineStr">
        <is>
          <t>Remainder to reach $500K seed round</t>
        </is>
      </c>
      <c r="E18" t="inlineStr">
        <is>
          <t>Standard contingency for unexpected costs</t>
        </is>
      </c>
    </row>
    <row r="19">
      <c r="A19" s="4" t="n"/>
      <c r="C19" s="15" t="n"/>
    </row>
    <row r="20">
      <c r="A20" s="16" t="inlineStr">
        <is>
          <t>TOTAL FUND</t>
        </is>
      </c>
      <c r="C20" s="15">
        <f>C2+C4+C8+C12+C15+C18</f>
        <v/>
      </c>
    </row>
    <row r="21">
      <c r="C21" s="3" t="n"/>
    </row>
    <row r="22">
      <c r="C22" s="3" t="n"/>
    </row>
    <row r="23">
      <c r="C23" s="3" t="n"/>
    </row>
    <row r="24" ht="15.5" customHeight="1">
      <c r="A24" s="2" t="n"/>
      <c r="C24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4.5"/>
  <cols>
    <col width="30" customWidth="1" min="1" max="1"/>
    <col width="15" customWidth="1" min="2" max="2"/>
    <col width="30" customWidth="1" min="3" max="3"/>
    <col width="25" customWidth="1" min="4" max="4"/>
    <col width="12" customWidth="1" min="5" max="5"/>
    <col width="15" customWidth="1" min="6" max="7"/>
    <col width="12" customWidth="1" min="8" max="8"/>
    <col width="15" customWidth="1" min="9" max="9"/>
    <col width="40" customWidth="1" min="10" max="10"/>
  </cols>
  <sheetData>
    <row r="1">
      <c r="A1" s="8" t="inlineStr">
        <is>
          <t>Phase</t>
        </is>
      </c>
      <c r="B1" s="8" t="inlineStr">
        <is>
          <t>Timeline</t>
        </is>
      </c>
      <c r="C1" s="8" t="inlineStr">
        <is>
          <t>Target Audience</t>
        </is>
      </c>
      <c r="D1" s="8" t="inlineStr">
        <is>
          <t>Channels</t>
        </is>
      </c>
      <c r="E1" s="8" t="inlineStr">
        <is>
          <t>DAU Target</t>
        </is>
      </c>
      <c r="F1" s="8" t="inlineStr">
        <is>
          <t>GMV Target ($)</t>
        </is>
      </c>
      <c r="G1" s="8" t="inlineStr">
        <is>
          <t>CAC Budget ($)</t>
        </is>
      </c>
      <c r="H1" s="8" t="inlineStr">
        <is>
          <t>Users Target</t>
        </is>
      </c>
      <c r="I1" s="8" t="inlineStr">
        <is>
          <t>CAC per User ($)</t>
        </is>
      </c>
      <c r="J1" s="8" t="inlineStr">
        <is>
          <t>Reference</t>
        </is>
      </c>
    </row>
    <row r="2">
      <c r="A2" s="4" t="inlineStr">
        <is>
          <t>Phase 1: Proof of Concept</t>
        </is>
      </c>
      <c r="B2" t="inlineStr">
        <is>
          <t>Months 1-3</t>
        </is>
      </c>
      <c r="C2" t="inlineStr">
        <is>
          <t>Crypto-native</t>
        </is>
      </c>
      <c r="D2" t="inlineStr">
        <is>
          <t>Discord, Twitter, GitHub</t>
        </is>
      </c>
      <c r="E2" s="9" t="n">
        <v>100</v>
      </c>
      <c r="F2" s="3" t="n">
        <v>500000</v>
      </c>
      <c r="G2" s="3" t="n">
        <v>10000</v>
      </c>
      <c r="H2" s="9" t="n">
        <v>100</v>
      </c>
      <c r="I2" s="3">
        <f>G2/H2</f>
        <v/>
      </c>
      <c r="J2" t="inlineStr">
        <is>
          <t>Crypto community engagement</t>
        </is>
      </c>
    </row>
    <row r="3">
      <c r="C3" t="inlineStr">
        <is>
          <t>Solana devs, designers, auditors</t>
        </is>
      </c>
      <c r="E3" s="9" t="n"/>
      <c r="F3" s="3" t="n"/>
      <c r="G3" s="3" t="n"/>
      <c r="H3" s="9" t="n"/>
      <c r="I3" s="3" t="n"/>
    </row>
    <row r="4">
      <c r="E4" s="9" t="n"/>
      <c r="F4" s="3" t="n"/>
      <c r="G4" s="3" t="n"/>
      <c r="H4" s="9" t="n"/>
      <c r="I4" s="3" t="n"/>
    </row>
    <row r="5">
      <c r="A5" s="4" t="inlineStr">
        <is>
          <t>Phase 2: Regional Expansion</t>
        </is>
      </c>
      <c r="B5" t="inlineStr">
        <is>
          <t>Months 4-9</t>
        </is>
      </c>
      <c r="C5" t="inlineStr">
        <is>
          <t>Emerging markets</t>
        </is>
      </c>
      <c r="D5" t="inlineStr">
        <is>
          <t>Referral, influencers</t>
        </is>
      </c>
      <c r="E5" s="9" t="n">
        <v>5000</v>
      </c>
      <c r="F5" s="3" t="n">
        <v>5000000</v>
      </c>
      <c r="G5" s="3" t="n">
        <v>50000</v>
      </c>
      <c r="H5" s="9" t="n">
        <v>5000</v>
      </c>
      <c r="I5" s="3">
        <f>G5/H5</f>
        <v/>
      </c>
      <c r="J5" t="inlineStr">
        <is>
          <t>SEA, LATAM, Africa expansion</t>
        </is>
      </c>
    </row>
    <row r="6">
      <c r="C6" t="inlineStr">
        <is>
          <t>1.4B unbanked workers</t>
        </is>
      </c>
      <c r="E6" s="9" t="n"/>
      <c r="F6" s="3" t="n"/>
      <c r="G6" s="3" t="n"/>
      <c r="H6" s="9" t="n"/>
      <c r="I6" s="3" t="n"/>
    </row>
    <row r="7">
      <c r="E7" s="9" t="n"/>
      <c r="F7" s="3" t="n"/>
      <c r="G7" s="3" t="n"/>
      <c r="H7" s="9" t="n"/>
      <c r="I7" s="3" t="n"/>
    </row>
    <row r="8">
      <c r="A8" s="4" t="inlineStr">
        <is>
          <t>Phase 3: Mainstream</t>
        </is>
      </c>
      <c r="B8" t="inlineStr">
        <is>
          <t>Months 10+</t>
        </is>
      </c>
      <c r="C8" t="inlineStr">
        <is>
          <t>Mainstream</t>
        </is>
      </c>
      <c r="D8" t="inlineStr">
        <is>
          <t>Content, partnerships</t>
        </is>
      </c>
      <c r="E8" s="9" t="n">
        <v>50000</v>
      </c>
      <c r="F8" s="3" t="n">
        <v>20000000</v>
      </c>
      <c r="G8" s="3" t="n">
        <v>90000</v>
      </c>
      <c r="H8" s="9" t="n">
        <v>8320</v>
      </c>
      <c r="I8" s="3">
        <f>G8/H8</f>
        <v/>
      </c>
      <c r="J8" t="inlineStr">
        <is>
          <t>North America, Europe</t>
        </is>
      </c>
    </row>
    <row r="9">
      <c r="C9" t="inlineStr">
        <is>
          <t>Fee-fatigued professionals</t>
        </is>
      </c>
      <c r="E9" s="9" t="n"/>
      <c r="F9" s="3" t="n"/>
      <c r="G9" s="3" t="n"/>
      <c r="H9" s="9" t="n"/>
      <c r="I9" s="3" t="n"/>
    </row>
    <row r="10">
      <c r="E10" s="9" t="n"/>
      <c r="F10" s="3" t="n"/>
      <c r="G10" s="3" t="n"/>
      <c r="H10" s="9" t="n"/>
      <c r="I10" s="3" t="n"/>
    </row>
    <row r="11">
      <c r="A11" s="11" t="inlineStr">
        <is>
          <t>YEAR 1 TOTAL</t>
        </is>
      </c>
      <c r="E11" s="9" t="n"/>
      <c r="F11" s="3" t="n"/>
      <c r="G11" s="3">
        <f>G2+G5+G8</f>
        <v/>
      </c>
      <c r="H11" s="9" t="n">
        <v>8320</v>
      </c>
      <c r="I11" s="3">
        <f>G11/H11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B15" sqref="B15"/>
    </sheetView>
  </sheetViews>
  <sheetFormatPr baseColWidth="8" defaultRowHeight="14.5"/>
  <cols>
    <col width="25" customWidth="1" min="1" max="2"/>
    <col width="20" customWidth="1" min="3" max="5"/>
    <col width="50" customWidth="1" min="6" max="6"/>
  </cols>
  <sheetData>
    <row r="1">
      <c r="A1" s="8" t="inlineStr">
        <is>
          <t>Shareholder</t>
        </is>
      </c>
      <c r="B1" s="8" t="inlineStr">
        <is>
          <t>Role</t>
        </is>
      </c>
      <c r="C1" s="8" t="inlineStr">
        <is>
          <t>Pre-Money Equity (%)</t>
        </is>
      </c>
      <c r="D1" s="8" t="inlineStr">
        <is>
          <t>Post-Money Equity (%)</t>
        </is>
      </c>
      <c r="E1" s="8" t="inlineStr">
        <is>
          <t>Vesting</t>
        </is>
      </c>
      <c r="F1" s="8" t="inlineStr">
        <is>
          <t>Notes</t>
        </is>
      </c>
    </row>
    <row r="2">
      <c r="A2" t="inlineStr">
        <is>
          <t>Ghiffary Rifqialdi</t>
        </is>
      </c>
      <c r="B2" t="inlineStr">
        <is>
          <t>CEO &amp; Founder</t>
        </is>
      </c>
      <c r="C2" s="6" t="n">
        <v>0.6</v>
      </c>
      <c r="D2" s="6" t="n">
        <v>0.55</v>
      </c>
      <c r="E2" t="inlineStr">
        <is>
          <t>4-year, 1-year cliff</t>
        </is>
      </c>
      <c r="F2" t="inlineStr">
        <is>
          <t>Built entire MVP, paid all costs, vision owner, investor relations. Highest equity reflects foundational sweat equity and financial risk taken.</t>
        </is>
      </c>
    </row>
    <row r="3">
      <c r="A3" t="inlineStr">
        <is>
          <t>Renard Elyon Imawanto</t>
        </is>
      </c>
      <c r="B3" t="inlineStr">
        <is>
          <t>Lead Blockchain Engineer</t>
        </is>
      </c>
      <c r="C3" s="6" t="n">
        <v>0.1</v>
      </c>
      <c r="D3" s="6" t="n">
        <v>0.075</v>
      </c>
      <c r="E3" t="inlineStr">
        <is>
          <t>4-year, 1-year cliff</t>
        </is>
      </c>
      <c r="F3" t="inlineStr">
        <is>
          <t>Gasless tx, fee optimization, smart contract security hardening,  AWS scaling. Early co-founder contribution.</t>
        </is>
      </c>
    </row>
    <row r="4">
      <c r="A4" t="inlineStr">
        <is>
          <t>Linh</t>
        </is>
      </c>
      <c r="B4" t="inlineStr">
        <is>
          <t>COO</t>
        </is>
      </c>
      <c r="C4" s="6" t="n">
        <v>0.1</v>
      </c>
      <c r="D4" s="6" t="n">
        <v>0.075</v>
      </c>
      <c r="E4" t="inlineStr">
        <is>
          <t>4-year, 1-year cliff</t>
        </is>
      </c>
      <c r="F4" t="inlineStr">
        <is>
          <t>Product maturation, QA, operations. Identified critical bugs during MVP phase to ensure product readiness and representative of CEO when needed.</t>
        </is>
      </c>
    </row>
    <row r="5">
      <c r="B5" t="inlineStr">
        <is>
          <t>CTO</t>
        </is>
      </c>
      <c r="C5" s="6" t="n">
        <v>0.15</v>
      </c>
      <c r="D5" s="6" t="n">
        <v>0.1</v>
      </c>
      <c r="E5" t="inlineStr">
        <is>
          <t>4-year, 1-year cliff</t>
        </is>
      </c>
      <c r="F5" t="inlineStr">
        <is>
          <t>Technical leadership, ensuring smart contract security, future AI integration plan, and investor relations.</t>
        </is>
      </c>
    </row>
    <row r="6">
      <c r="A6" t="inlineStr">
        <is>
          <t>Employee Pool</t>
        </is>
      </c>
      <c r="B6" t="inlineStr">
        <is>
          <t>Future hires</t>
        </is>
      </c>
      <c r="C6" s="6" t="n">
        <v>0.05</v>
      </c>
      <c r="D6" s="6" t="n">
        <v>0.05</v>
      </c>
      <c r="E6" t="inlineStr">
        <is>
          <t>As granted</t>
        </is>
      </c>
      <c r="F6" t="inlineStr">
        <is>
          <t>Reserved for Marketing Lead, upcoming engineers, etc.</t>
        </is>
      </c>
    </row>
    <row r="7">
      <c r="A7" t="inlineStr">
        <is>
          <t>Investors</t>
        </is>
      </c>
      <c r="B7" t="inlineStr">
        <is>
          <t>Seed round</t>
        </is>
      </c>
      <c r="C7" s="6" t="n">
        <v>0</v>
      </c>
      <c r="D7" s="6" t="n">
        <v>0.15</v>
      </c>
      <c r="E7" t="inlineStr">
        <is>
          <t>N/A</t>
        </is>
      </c>
      <c r="F7" t="inlineStr">
        <is>
          <t>$500K at $3M post-money valuation</t>
        </is>
      </c>
    </row>
    <row r="8">
      <c r="A8" s="4" t="inlineStr">
        <is>
          <t>TOTAL</t>
        </is>
      </c>
      <c r="C8" s="6">
        <f>SUM(C2:C7)</f>
        <v/>
      </c>
      <c r="D8" s="6">
        <f>SUM(D2:D7)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2026-06-15T16:50:58Z</dcterms:created>
  <dcterms:modified xmlns:dcterms="http://purl.org/dc/terms/" xmlns:xsi="http://www.w3.org/2001/XMLSchema-instance" xsi:type="dcterms:W3CDTF">2026-06-17T16:00:29Z</dcterms:modified>
  <cp:lastModifiedBy>Ghiffary Rifqialdi</cp:lastModifiedBy>
</cp:coreProperties>
</file>