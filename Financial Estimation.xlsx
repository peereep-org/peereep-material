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hiffary\Kerja\peereep\"/>
    </mc:Choice>
  </mc:AlternateContent>
  <xr:revisionPtr revIDLastSave="0" documentId="8_{FFEFB202-8940-4B4A-8063-B86B5E428FCA}" xr6:coauthVersionLast="47" xr6:coauthVersionMax="47" xr10:uidLastSave="{00000000-0000-0000-0000-000000000000}"/>
  <bookViews>
    <workbookView xWindow="-110" yWindow="-110" windowWidth="25820" windowHeight="13900" activeTab="2" xr2:uid="{509BC320-9F37-49D3-AB39-00191F517526}"/>
  </bookViews>
  <sheets>
    <sheet name="Opex" sheetId="1" r:id="rId1"/>
    <sheet name="Capex" sheetId="2" r:id="rId2"/>
    <sheet name="Reven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3" l="1"/>
  <c r="C5" i="3"/>
  <c r="H5" i="3" s="1"/>
  <c r="D5" i="3"/>
  <c r="H3" i="3"/>
  <c r="H4" i="3"/>
  <c r="H2" i="3"/>
  <c r="C4" i="3"/>
  <c r="C3" i="3"/>
  <c r="C2" i="3"/>
  <c r="H3" i="1"/>
  <c r="H4" i="1"/>
  <c r="H5" i="1"/>
  <c r="H6" i="1"/>
  <c r="H7" i="1"/>
  <c r="H8" i="1"/>
  <c r="H9" i="1"/>
  <c r="H10" i="1"/>
  <c r="H11" i="1"/>
  <c r="H2" i="1"/>
  <c r="H5" i="2"/>
  <c r="D11" i="1"/>
  <c r="H3" i="2"/>
  <c r="H4" i="2"/>
  <c r="C2" i="2"/>
  <c r="H2" i="2" s="1"/>
  <c r="C4" i="1"/>
  <c r="C3" i="1"/>
  <c r="C2" i="1"/>
  <c r="C5" i="1"/>
  <c r="H12" i="1" l="1"/>
</calcChain>
</file>

<file path=xl/sharedStrings.xml><?xml version="1.0" encoding="utf-8"?>
<sst xmlns="http://schemas.openxmlformats.org/spreadsheetml/2006/main" count="79" uniqueCount="36">
  <si>
    <t>AWS DB</t>
  </si>
  <si>
    <t>Group</t>
  </si>
  <si>
    <t>Infrastructure</t>
  </si>
  <si>
    <t>Item</t>
  </si>
  <si>
    <t>Blockchain</t>
  </si>
  <si>
    <t>Total</t>
  </si>
  <si>
    <t>AWS ECR etc</t>
  </si>
  <si>
    <t>Trx</t>
  </si>
  <si>
    <t>Salary</t>
  </si>
  <si>
    <t>CEO</t>
  </si>
  <si>
    <t>CTO</t>
  </si>
  <si>
    <t>Video Editor</t>
  </si>
  <si>
    <t>Growth Lead</t>
  </si>
  <si>
    <t>Unit</t>
  </si>
  <si>
    <t>Multiplier</t>
  </si>
  <si>
    <t>User</t>
  </si>
  <si>
    <t>Cost per Unit ($)</t>
  </si>
  <si>
    <t>Lead Blockchain Engineer</t>
  </si>
  <si>
    <t>Person</t>
  </si>
  <si>
    <t>Office</t>
  </si>
  <si>
    <t>E-residency</t>
  </si>
  <si>
    <t>Contact person</t>
  </si>
  <si>
    <t>Company</t>
  </si>
  <si>
    <t>Company registration</t>
  </si>
  <si>
    <t>Rent exemption</t>
  </si>
  <si>
    <t>Network fee</t>
  </si>
  <si>
    <t>Wallet fund</t>
  </si>
  <si>
    <t>Time</t>
  </si>
  <si>
    <t>Unit Measurement</t>
  </si>
  <si>
    <t>Unit Time</t>
  </si>
  <si>
    <t>Month</t>
  </si>
  <si>
    <t>Tasks</t>
  </si>
  <si>
    <t>Services</t>
  </si>
  <si>
    <t>Goods</t>
  </si>
  <si>
    <t>Secret Society</t>
  </si>
  <si>
    <t>Amount per Unit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</si>
</sst>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8B4A-E64D-4B9A-8C36-CF607165795A}">
  <dimension ref="A1:H12"/>
  <sheetViews>
    <sheetView workbookViewId="0">
      <selection activeCell="H12" sqref="H12"/>
    </sheetView>
  </sheetViews>
  <sheetFormatPr defaultRowHeight="14.5" x14ac:dyDescent="0.35"/>
  <cols>
    <col min="1" max="1" width="11.90625" bestFit="1" customWidth="1"/>
    <col min="2" max="2" width="21.6328125" bestFit="1" customWidth="1"/>
    <col min="3" max="3" width="11.36328125" bestFit="1" customWidth="1"/>
    <col min="5" max="5" width="15.81640625" bestFit="1" customWidth="1"/>
  </cols>
  <sheetData>
    <row r="1" spans="1:8" x14ac:dyDescent="0.35">
      <c r="A1" t="s">
        <v>1</v>
      </c>
      <c r="B1" t="s">
        <v>3</v>
      </c>
      <c r="C1" t="s">
        <v>16</v>
      </c>
      <c r="D1" t="s">
        <v>14</v>
      </c>
      <c r="E1" t="s">
        <v>28</v>
      </c>
      <c r="F1" t="s">
        <v>14</v>
      </c>
      <c r="G1" t="s">
        <v>29</v>
      </c>
      <c r="H1" t="s">
        <v>5</v>
      </c>
    </row>
    <row r="2" spans="1:8" x14ac:dyDescent="0.35">
      <c r="A2" t="s">
        <v>2</v>
      </c>
      <c r="B2" t="s">
        <v>6</v>
      </c>
      <c r="C2">
        <f>35/10000</f>
        <v>3.5000000000000001E-3</v>
      </c>
      <c r="D2">
        <v>80000</v>
      </c>
      <c r="E2" t="s">
        <v>15</v>
      </c>
      <c r="F2">
        <v>1</v>
      </c>
      <c r="G2" t="s">
        <v>30</v>
      </c>
      <c r="H2">
        <f>C2*D2*F2</f>
        <v>280</v>
      </c>
    </row>
    <row r="3" spans="1:8" x14ac:dyDescent="0.35">
      <c r="B3" t="s">
        <v>0</v>
      </c>
      <c r="C3">
        <f>15/10000</f>
        <v>1.5E-3</v>
      </c>
      <c r="D3">
        <v>80000</v>
      </c>
      <c r="E3" t="s">
        <v>15</v>
      </c>
      <c r="F3">
        <v>1</v>
      </c>
      <c r="G3" t="s">
        <v>30</v>
      </c>
      <c r="H3">
        <f t="shared" ref="H3:H11" si="0">C3*D3*F3</f>
        <v>120</v>
      </c>
    </row>
    <row r="4" spans="1:8" x14ac:dyDescent="0.35">
      <c r="A4" t="s">
        <v>4</v>
      </c>
      <c r="B4" t="s">
        <v>25</v>
      </c>
      <c r="C4">
        <f>0.00001*70</f>
        <v>7.000000000000001E-4</v>
      </c>
      <c r="D4">
        <v>8000</v>
      </c>
      <c r="E4" t="s">
        <v>7</v>
      </c>
      <c r="F4">
        <v>1</v>
      </c>
      <c r="G4" t="s">
        <v>30</v>
      </c>
      <c r="H4">
        <f t="shared" si="0"/>
        <v>5.6000000000000005</v>
      </c>
    </row>
    <row r="5" spans="1:8" x14ac:dyDescent="0.35">
      <c r="B5" t="s">
        <v>26</v>
      </c>
      <c r="C5">
        <f>0.002*70</f>
        <v>0.14000000000000001</v>
      </c>
      <c r="D5">
        <v>4000</v>
      </c>
      <c r="E5" t="s">
        <v>7</v>
      </c>
      <c r="F5">
        <v>1</v>
      </c>
      <c r="G5" t="s">
        <v>30</v>
      </c>
      <c r="H5">
        <f t="shared" si="0"/>
        <v>560</v>
      </c>
    </row>
    <row r="6" spans="1:8" x14ac:dyDescent="0.35">
      <c r="A6" t="s">
        <v>8</v>
      </c>
      <c r="B6" t="s">
        <v>9</v>
      </c>
      <c r="C6">
        <v>12500</v>
      </c>
      <c r="D6">
        <v>1</v>
      </c>
      <c r="E6" t="s">
        <v>18</v>
      </c>
      <c r="F6">
        <v>1</v>
      </c>
      <c r="G6" t="s">
        <v>30</v>
      </c>
      <c r="H6">
        <f t="shared" si="0"/>
        <v>12500</v>
      </c>
    </row>
    <row r="7" spans="1:8" x14ac:dyDescent="0.35">
      <c r="B7" t="s">
        <v>10</v>
      </c>
      <c r="C7">
        <v>12500</v>
      </c>
      <c r="D7">
        <v>1</v>
      </c>
      <c r="E7" t="s">
        <v>18</v>
      </c>
      <c r="F7">
        <v>1</v>
      </c>
      <c r="G7" t="s">
        <v>30</v>
      </c>
      <c r="H7">
        <f t="shared" si="0"/>
        <v>12500</v>
      </c>
    </row>
    <row r="8" spans="1:8" x14ac:dyDescent="0.35">
      <c r="B8" t="s">
        <v>17</v>
      </c>
      <c r="C8">
        <v>12500</v>
      </c>
      <c r="D8">
        <v>1</v>
      </c>
      <c r="E8" t="s">
        <v>18</v>
      </c>
      <c r="F8">
        <v>1</v>
      </c>
      <c r="G8" t="s">
        <v>30</v>
      </c>
      <c r="H8">
        <f t="shared" si="0"/>
        <v>12500</v>
      </c>
    </row>
    <row r="9" spans="1:8" x14ac:dyDescent="0.35">
      <c r="B9" t="s">
        <v>11</v>
      </c>
      <c r="C9">
        <v>4166.6666666666597</v>
      </c>
      <c r="D9">
        <v>1</v>
      </c>
      <c r="E9" t="s">
        <v>18</v>
      </c>
      <c r="F9">
        <v>1</v>
      </c>
      <c r="G9" t="s">
        <v>30</v>
      </c>
      <c r="H9">
        <f t="shared" si="0"/>
        <v>4166.6666666666597</v>
      </c>
    </row>
    <row r="10" spans="1:8" x14ac:dyDescent="0.35">
      <c r="B10" t="s">
        <v>12</v>
      </c>
      <c r="C10">
        <v>15000</v>
      </c>
      <c r="D10">
        <v>1</v>
      </c>
      <c r="E10" t="s">
        <v>18</v>
      </c>
      <c r="F10">
        <v>1</v>
      </c>
      <c r="G10" t="s">
        <v>30</v>
      </c>
      <c r="H10">
        <f t="shared" si="0"/>
        <v>15000</v>
      </c>
    </row>
    <row r="11" spans="1:8" x14ac:dyDescent="0.35">
      <c r="A11" t="s">
        <v>19</v>
      </c>
      <c r="B11" t="s">
        <v>21</v>
      </c>
      <c r="C11">
        <v>300</v>
      </c>
      <c r="D11">
        <f>1/12</f>
        <v>8.3333333333333329E-2</v>
      </c>
      <c r="E11" t="s">
        <v>22</v>
      </c>
      <c r="F11">
        <v>1</v>
      </c>
      <c r="G11" t="s">
        <v>30</v>
      </c>
      <c r="H11">
        <f t="shared" si="0"/>
        <v>25</v>
      </c>
    </row>
    <row r="12" spans="1:8" x14ac:dyDescent="0.35">
      <c r="H12">
        <f>SUM(H2:H11)</f>
        <v>57657.266666666656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DFFD-A6A2-4321-9290-A51FABB4BE55}">
  <dimension ref="A1:H5"/>
  <sheetViews>
    <sheetView workbookViewId="0">
      <selection activeCell="H1" sqref="A1:H1"/>
    </sheetView>
  </sheetViews>
  <sheetFormatPr defaultRowHeight="14.5" x14ac:dyDescent="0.35"/>
  <cols>
    <col min="2" max="2" width="18.26953125" bestFit="1" customWidth="1"/>
  </cols>
  <sheetData>
    <row r="1" spans="1:8" x14ac:dyDescent="0.35">
      <c r="A1" t="s">
        <v>1</v>
      </c>
      <c r="B1" t="s">
        <v>3</v>
      </c>
      <c r="C1" t="s">
        <v>16</v>
      </c>
      <c r="D1" t="s">
        <v>14</v>
      </c>
      <c r="E1" t="s">
        <v>13</v>
      </c>
      <c r="F1" t="s">
        <v>14</v>
      </c>
      <c r="G1" t="s">
        <v>29</v>
      </c>
      <c r="H1" t="s">
        <v>5</v>
      </c>
    </row>
    <row r="2" spans="1:8" x14ac:dyDescent="0.35">
      <c r="B2" t="s">
        <v>24</v>
      </c>
      <c r="C2">
        <f>0.0034*70</f>
        <v>0.23799999999999999</v>
      </c>
      <c r="D2">
        <v>1000</v>
      </c>
      <c r="F2">
        <v>1</v>
      </c>
      <c r="G2" t="s">
        <v>30</v>
      </c>
      <c r="H2">
        <f>C2*D2</f>
        <v>238</v>
      </c>
    </row>
    <row r="3" spans="1:8" x14ac:dyDescent="0.35">
      <c r="A3" t="s">
        <v>19</v>
      </c>
      <c r="B3" t="s">
        <v>20</v>
      </c>
      <c r="C3">
        <v>150</v>
      </c>
      <c r="D3">
        <v>2</v>
      </c>
      <c r="E3" t="s">
        <v>18</v>
      </c>
      <c r="F3">
        <v>1</v>
      </c>
      <c r="G3" t="s">
        <v>27</v>
      </c>
      <c r="H3">
        <f>C3*D3</f>
        <v>300</v>
      </c>
    </row>
    <row r="4" spans="1:8" x14ac:dyDescent="0.35">
      <c r="B4" t="s">
        <v>23</v>
      </c>
      <c r="C4">
        <v>265</v>
      </c>
      <c r="D4">
        <v>1</v>
      </c>
      <c r="E4" t="s">
        <v>22</v>
      </c>
      <c r="F4">
        <v>1</v>
      </c>
      <c r="G4" t="s">
        <v>27</v>
      </c>
      <c r="H4">
        <f>C4*D4</f>
        <v>265</v>
      </c>
    </row>
    <row r="5" spans="1:8" x14ac:dyDescent="0.35">
      <c r="H5">
        <f>SUM(H2:H4)</f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53E3-265A-4603-AC32-1163D18334A8}">
  <dimension ref="A1:H6"/>
  <sheetViews>
    <sheetView tabSelected="1" workbookViewId="0">
      <selection activeCell="H6" sqref="H6"/>
    </sheetView>
  </sheetViews>
  <sheetFormatPr defaultRowHeight="14.5" x14ac:dyDescent="0.35"/>
  <cols>
    <col min="2" max="2" width="12.36328125" bestFit="1" customWidth="1"/>
    <col min="3" max="3" width="16.54296875" bestFit="1" customWidth="1"/>
    <col min="4" max="4" width="10.81640625" bestFit="1" customWidth="1"/>
    <col min="5" max="5" width="15.81640625" bestFit="1" customWidth="1"/>
    <col min="6" max="6" width="8.36328125" bestFit="1" customWidth="1"/>
  </cols>
  <sheetData>
    <row r="1" spans="1:8" x14ac:dyDescent="0.35">
      <c r="A1" t="s">
        <v>1</v>
      </c>
      <c r="B1" t="s">
        <v>3</v>
      </c>
      <c r="C1" t="s">
        <v>35</v>
      </c>
      <c r="D1" t="s">
        <v>14</v>
      </c>
      <c r="E1" t="s">
        <v>28</v>
      </c>
      <c r="F1" t="s">
        <v>14</v>
      </c>
      <c r="G1" t="s">
        <v>29</v>
      </c>
      <c r="H1" t="s">
        <v>5</v>
      </c>
    </row>
    <row r="2" spans="1:8" x14ac:dyDescent="0.35">
      <c r="B2" t="s">
        <v>31</v>
      </c>
      <c r="C2">
        <f>1000*2.5/100</f>
        <v>25</v>
      </c>
      <c r="D2">
        <v>8000</v>
      </c>
      <c r="E2" t="s">
        <v>7</v>
      </c>
      <c r="F2">
        <v>1</v>
      </c>
      <c r="G2" t="s">
        <v>30</v>
      </c>
      <c r="H2">
        <f>C2*D2*F2</f>
        <v>200000</v>
      </c>
    </row>
    <row r="3" spans="1:8" x14ac:dyDescent="0.35">
      <c r="B3" t="s">
        <v>32</v>
      </c>
      <c r="C3">
        <f>100*2.5/100</f>
        <v>2.5</v>
      </c>
      <c r="D3">
        <v>8000</v>
      </c>
      <c r="E3" t="s">
        <v>7</v>
      </c>
      <c r="F3">
        <v>1</v>
      </c>
      <c r="G3" t="s">
        <v>30</v>
      </c>
      <c r="H3">
        <f t="shared" ref="H3:H5" si="0">C3*D3*F3</f>
        <v>20000</v>
      </c>
    </row>
    <row r="4" spans="1:8" x14ac:dyDescent="0.35">
      <c r="B4" t="s">
        <v>33</v>
      </c>
      <c r="C4">
        <f>50*1/100</f>
        <v>0.5</v>
      </c>
      <c r="D4">
        <v>160000</v>
      </c>
      <c r="E4" t="s">
        <v>7</v>
      </c>
      <c r="F4">
        <v>1</v>
      </c>
      <c r="G4" t="s">
        <v>30</v>
      </c>
      <c r="H4">
        <f t="shared" si="0"/>
        <v>80000</v>
      </c>
    </row>
    <row r="5" spans="1:8" x14ac:dyDescent="0.35">
      <c r="B5" t="s">
        <v>34</v>
      </c>
      <c r="C5">
        <f>1</f>
        <v>1</v>
      </c>
      <c r="D5">
        <f>8000/2</f>
        <v>4000</v>
      </c>
      <c r="E5" t="s">
        <v>7</v>
      </c>
      <c r="F5">
        <v>1</v>
      </c>
      <c r="G5" t="s">
        <v>30</v>
      </c>
      <c r="H5">
        <f t="shared" ref="H5" si="1">C5*D5*F5</f>
        <v>4000</v>
      </c>
    </row>
    <row r="6" spans="1:8" x14ac:dyDescent="0.35">
      <c r="H6">
        <f>SUM(H2:H5)</f>
        <v>304000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Opex</vt:lpstr>
      <vt:lpstr>Capex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Ghiffary Rifqialdi</dc:creator>
  <cp:lastModifiedBy>Ghiffary Rifqialdi</cp:lastModifiedBy>
  <dcterms:created xsi:type="dcterms:W3CDTF">2026-06-04T07:21:06Z</dcterms:created>
  <dcterms:modified xsi:type="dcterms:W3CDTF">2026-06-04T09:32:22Z</dcterms:modified>
</cp:coreProperties>
</file>