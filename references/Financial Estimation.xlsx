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ghiffaryr\peereep-material\references\"/>
    </mc:Choice>
  </mc:AlternateContent>
  <xr:revisionPtr revIDLastSave="0" documentId="13_ncr:1_{05AFD171-0031-49AA-8DA0-BEDE2BFE96B4}" xr6:coauthVersionLast="47" xr6:coauthVersionMax="47" xr10:uidLastSave="{00000000-0000-0000-0000-000000000000}"/>
  <bookViews>
    <workbookView xWindow="-110" yWindow="-110" windowWidth="25820" windowHeight="13900" activeTab="6" xr2:uid="{00000000-000D-0000-FFFF-FFFF00000000}"/>
  </bookViews>
  <sheets>
    <sheet name="Summary" sheetId="1" r:id="rId1"/>
    <sheet name="Revenue" sheetId="2" r:id="rId2"/>
    <sheet name="Opex" sheetId="3" r:id="rId3"/>
    <sheet name="Capex" sheetId="4" r:id="rId4"/>
    <sheet name="Fund Allocation" sheetId="5" r:id="rId5"/>
    <sheet name="Go-to-Market" sheetId="6" r:id="rId6"/>
    <sheet name="Equ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" l="1"/>
  <c r="I11" i="6" s="1"/>
  <c r="I8" i="6"/>
  <c r="I5" i="6"/>
  <c r="I2" i="6"/>
  <c r="C24" i="5"/>
  <c r="F7" i="4"/>
  <c r="F6" i="4"/>
  <c r="F5" i="4"/>
  <c r="F4" i="4"/>
  <c r="F3" i="4"/>
  <c r="F2" i="4"/>
  <c r="F8" i="4" s="1"/>
  <c r="B6" i="1" s="1"/>
  <c r="G21" i="3"/>
  <c r="H21" i="3" s="1"/>
  <c r="G20" i="3"/>
  <c r="H20" i="3" s="1"/>
  <c r="H19" i="3"/>
  <c r="G19" i="3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G22" i="3" s="1"/>
  <c r="G6" i="3"/>
  <c r="H6" i="3" s="1"/>
  <c r="G5" i="3"/>
  <c r="H5" i="3" s="1"/>
  <c r="G4" i="3"/>
  <c r="H4" i="3" s="1"/>
  <c r="G3" i="3"/>
  <c r="G7" i="3" s="1"/>
  <c r="B12" i="1" s="1"/>
  <c r="I6" i="2"/>
  <c r="D6" i="2"/>
  <c r="F6" i="2" s="1"/>
  <c r="I5" i="2"/>
  <c r="D5" i="2"/>
  <c r="F5" i="2" s="1"/>
  <c r="J5" i="2" s="1"/>
  <c r="K5" i="2" s="1"/>
  <c r="I4" i="2"/>
  <c r="D4" i="2"/>
  <c r="F4" i="2" s="1"/>
  <c r="J4" i="2" s="1"/>
  <c r="K4" i="2" s="1"/>
  <c r="I3" i="2"/>
  <c r="F3" i="2"/>
  <c r="F7" i="2" s="1"/>
  <c r="D3" i="2"/>
  <c r="J6" i="2" l="1"/>
  <c r="K6" i="2" s="1"/>
  <c r="J3" i="2"/>
  <c r="H3" i="3"/>
  <c r="H7" i="3" s="1"/>
  <c r="H10" i="3"/>
  <c r="H22" i="3" s="1"/>
  <c r="B5" i="1" s="1"/>
  <c r="B7" i="1" l="1"/>
  <c r="B13" i="1"/>
  <c r="B14" i="1" s="1"/>
  <c r="J7" i="2"/>
  <c r="K3" i="2"/>
  <c r="K7" i="2" s="1"/>
  <c r="B4" i="1" s="1"/>
  <c r="B8" i="1" s="1"/>
  <c r="B9" i="1" s="1"/>
</calcChain>
</file>

<file path=xl/sharedStrings.xml><?xml version="1.0" encoding="utf-8"?>
<sst xmlns="http://schemas.openxmlformats.org/spreadsheetml/2006/main" count="266" uniqueCount="210">
  <si>
    <t>Year 1 Financial Summary</t>
  </si>
  <si>
    <t>Profit &amp; Loss</t>
  </si>
  <si>
    <t>Revenue</t>
  </si>
  <si>
    <t>From Revenue sheet</t>
  </si>
  <si>
    <t>Operating Expenses</t>
  </si>
  <si>
    <t>From Opex sheet (post-funding)</t>
  </si>
  <si>
    <t>Capital Expenses</t>
  </si>
  <si>
    <t>From Capex sheet</t>
  </si>
  <si>
    <t>Total Expenses</t>
  </si>
  <si>
    <t>Profit</t>
  </si>
  <si>
    <t>Profit Margin</t>
  </si>
  <si>
    <t>Key Metrics</t>
  </si>
  <si>
    <t>Monthly Burn (pre-funding)</t>
  </si>
  <si>
    <t>Infrastructure only</t>
  </si>
  <si>
    <t>Monthly Burn (post-funding)</t>
  </si>
  <si>
    <t>Full team</t>
  </si>
  <si>
    <t>Runway with $500K</t>
  </si>
  <si>
    <t>$500K ÷ monthly burn</t>
  </si>
  <si>
    <t>Break-even</t>
  </si>
  <si>
    <t>Month 1</t>
  </si>
  <si>
    <t>Profitable from Day 1</t>
  </si>
  <si>
    <t>Team Structure</t>
  </si>
  <si>
    <t>Pre-Funding (3 founders)</t>
  </si>
  <si>
    <t>Unpaid</t>
  </si>
  <si>
    <t>Month 0 to funding</t>
  </si>
  <si>
    <t>Post-Funding (6 people)</t>
  </si>
  <si>
    <t>$67,000/month</t>
  </si>
  <si>
    <t>CEO, COO, CTO, Blockchain, Marketing, Content</t>
  </si>
  <si>
    <t>Category</t>
  </si>
  <si>
    <t>Base Users</t>
  </si>
  <si>
    <t>Capture Rate</t>
  </si>
  <si>
    <t>Active Users</t>
  </si>
  <si>
    <t>Trx/Month per User</t>
  </si>
  <si>
    <t>Total Trx/Month</t>
  </si>
  <si>
    <t>Avg Trx Value ($)</t>
  </si>
  <si>
    <t>Fee (%)</t>
  </si>
  <si>
    <t>Fee per Trx ($)</t>
  </si>
  <si>
    <t>Monthly Revenue ($)</t>
  </si>
  <si>
    <t>Annual Revenue ($)</t>
  </si>
  <si>
    <t>Reference</t>
  </si>
  <si>
    <t>Year 1 (1% Capture)</t>
  </si>
  <si>
    <t>Tasks</t>
  </si>
  <si>
    <t>Upwork 832K active clients (Q4 2024)</t>
  </si>
  <si>
    <t>Services</t>
  </si>
  <si>
    <t>Goods</t>
  </si>
  <si>
    <t>eBay 134M active buyers (2024 Annual Report)</t>
  </si>
  <si>
    <t>Secret Society</t>
  </si>
  <si>
    <t>SS subscription: $1 donation, expires after 5 transactions</t>
  </si>
  <si>
    <t>Year 1 Total</t>
  </si>
  <si>
    <t>Item</t>
  </si>
  <si>
    <t>Cost per Unit ($)</t>
  </si>
  <si>
    <t>Quantity</t>
  </si>
  <si>
    <t>Unit</t>
  </si>
  <si>
    <t>Frequency</t>
  </si>
  <si>
    <t>Monthly Total ($)</t>
  </si>
  <si>
    <t>Annual Total ($)</t>
  </si>
  <si>
    <t>PRE-FUNDING (Month 0 to Funding)</t>
  </si>
  <si>
    <t>Infrastructure</t>
  </si>
  <si>
    <t>AWS ECR</t>
  </si>
  <si>
    <t>User</t>
  </si>
  <si>
    <t>Month</t>
  </si>
  <si>
    <t>AWS pricing: $0.0035/user/mo</t>
  </si>
  <si>
    <t>AWS DB</t>
  </si>
  <si>
    <t>AWS pricing: $0.0015/user/mo</t>
  </si>
  <si>
    <t>Blockchain</t>
  </si>
  <si>
    <t>Network fee</t>
  </si>
  <si>
    <t>Trx</t>
  </si>
  <si>
    <t>Solana tx fee × 70 safety margin</t>
  </si>
  <si>
    <t>Wallet fund</t>
  </si>
  <si>
    <t>SOL for wallet operations</t>
  </si>
  <si>
    <t>Pre-Funding Total</t>
  </si>
  <si>
    <t>POST-FUNDING (Year 1)</t>
  </si>
  <si>
    <t>Salary</t>
  </si>
  <si>
    <t>CEO (Ghiffary)</t>
  </si>
  <si>
    <t>Person</t>
  </si>
  <si>
    <t>Founder salary</t>
  </si>
  <si>
    <t>COO (Linh)</t>
  </si>
  <si>
    <t>Operations + QA</t>
  </si>
  <si>
    <t>CTO (new hire)</t>
  </si>
  <si>
    <t>Technical leadership</t>
  </si>
  <si>
    <t>Lead Blockchain (Renard)</t>
  </si>
  <si>
    <t>Smart contract + AWS</t>
  </si>
  <si>
    <t>Senior Marketing Lead</t>
  </si>
  <si>
    <t>Brand + Growth combined</t>
  </si>
  <si>
    <t>Freelance Content Creator</t>
  </si>
  <si>
    <t>Under Marketing Lead control</t>
  </si>
  <si>
    <t>Office</t>
  </si>
  <si>
    <t>Contact person</t>
  </si>
  <si>
    <t>Company</t>
  </si>
  <si>
    <t>Estonia e-residency</t>
  </si>
  <si>
    <t>Rent exemption</t>
  </si>
  <si>
    <t>Solana rent per account</t>
  </si>
  <si>
    <t>Post-Funding Total</t>
  </si>
  <si>
    <t>Total ($)</t>
  </si>
  <si>
    <t>E-residency</t>
  </si>
  <si>
    <t>Estonia e-residency program</t>
  </si>
  <si>
    <t>Company registration</t>
  </si>
  <si>
    <t>Estonia business registration</t>
  </si>
  <si>
    <t>Wallet</t>
  </si>
  <si>
    <t>Tangem Wallets (3 cards)</t>
  </si>
  <si>
    <t>Bundle</t>
  </si>
  <si>
    <t>Tangem official pricing</t>
  </si>
  <si>
    <t>Trezor Safe 3</t>
  </si>
  <si>
    <t>Trezor official pricing</t>
  </si>
  <si>
    <t>Mainnet deployment</t>
  </si>
  <si>
    <t>Solana program deployment cost</t>
  </si>
  <si>
    <t>Security audit</t>
  </si>
  <si>
    <t>Solana/Anchor audit market rate</t>
  </si>
  <si>
    <t>Total Capex</t>
  </si>
  <si>
    <t>Budget ($)</t>
  </si>
  <si>
    <t>Breakdown</t>
  </si>
  <si>
    <t>PRODUCT</t>
  </si>
  <si>
    <t>iOS App Development</t>
  </si>
  <si>
    <t>React Native/Flutter MVP</t>
  </si>
  <si>
    <t>Industry benchmark: $50-100K</t>
  </si>
  <si>
    <t>DAO Governance</t>
  </si>
  <si>
    <t>Smart contract dev + audit</t>
  </si>
  <si>
    <t>Governance framework cost</t>
  </si>
  <si>
    <t>Multi-chain Research</t>
  </si>
  <si>
    <t>Polygon/Arbitrum POC</t>
  </si>
  <si>
    <t>Cross-chain bridge research</t>
  </si>
  <si>
    <t>Security &amp; Audits</t>
  </si>
  <si>
    <t>Additional audits post-seed</t>
  </si>
  <si>
    <t>Ongoing security budget</t>
  </si>
  <si>
    <t>GROWTH</t>
  </si>
  <si>
    <t>User Acquisition</t>
  </si>
  <si>
    <t>Referral program, bounties</t>
  </si>
  <si>
    <t>CAC benchmark: $5-10/user</t>
  </si>
  <si>
    <t>Regional Expansion</t>
  </si>
  <si>
    <t>SEA, LATAM, Africa presence</t>
  </si>
  <si>
    <t>Local partnerships, events</t>
  </si>
  <si>
    <t>Marketing</t>
  </si>
  <si>
    <t>Content, social, PR</t>
  </si>
  <si>
    <t>Crypto-native marketing</t>
  </si>
  <si>
    <t>INFRASTRUCTURE</t>
  </si>
  <si>
    <t>AWS Scaling</t>
  </si>
  <si>
    <t>80K+ users infrastructure</t>
  </si>
  <si>
    <t>AWS cost projection</t>
  </si>
  <si>
    <t>Network Fees Buffer</t>
  </si>
  <si>
    <t>Solana tx fee volatility</t>
  </si>
  <si>
    <t>6-month buffer</t>
  </si>
  <si>
    <t>Monitoring &amp; Tools</t>
  </si>
  <si>
    <t>Datadog, Sentry, etc.</t>
  </si>
  <si>
    <t>DevOps tooling</t>
  </si>
  <si>
    <t>Contingency</t>
  </si>
  <si>
    <t>Unexpected infra costs</t>
  </si>
  <si>
    <t>20% buffer</t>
  </si>
  <si>
    <t>OPERATIONS</t>
  </si>
  <si>
    <t>Legal Entity Setup</t>
  </si>
  <si>
    <t>3-5 regions (Estonia + others)</t>
  </si>
  <si>
    <t>Legal fees, compliance</t>
  </si>
  <si>
    <t>Year 2 Hires (3 months)</t>
  </si>
  <si>
    <t>CTO, Marketing Lead runway</t>
  </si>
  <si>
    <t>3 months salary buffer</t>
  </si>
  <si>
    <t>Office &amp; Admin</t>
  </si>
  <si>
    <t>E-residency, tools, software</t>
  </si>
  <si>
    <t>Operational overhead</t>
  </si>
  <si>
    <t>TOTAL</t>
  </si>
  <si>
    <t>Phase</t>
  </si>
  <si>
    <t>Timeline</t>
  </si>
  <si>
    <t>Target Audience</t>
  </si>
  <si>
    <t>Channels</t>
  </si>
  <si>
    <t>DAU Target</t>
  </si>
  <si>
    <t>GMV Target ($)</t>
  </si>
  <si>
    <t>CAC Budget ($)</t>
  </si>
  <si>
    <t>Users Target</t>
  </si>
  <si>
    <t>CAC per User ($)</t>
  </si>
  <si>
    <t>Phase 1: Proof of Concept</t>
  </si>
  <si>
    <t>Months 1-3</t>
  </si>
  <si>
    <t>Crypto-native</t>
  </si>
  <si>
    <t>Discord, Twitter, GitHub</t>
  </si>
  <si>
    <t>Crypto community engagement</t>
  </si>
  <si>
    <t>Solana devs, designers, auditors</t>
  </si>
  <si>
    <t>Phase 2: Regional Expansion</t>
  </si>
  <si>
    <t>Months 4-9</t>
  </si>
  <si>
    <t>Emerging markets</t>
  </si>
  <si>
    <t>Referral, influencers</t>
  </si>
  <si>
    <t>SEA, LATAM, Africa expansion</t>
  </si>
  <si>
    <t>1.4B unbanked workers</t>
  </si>
  <si>
    <t>Phase 3: Mainstream</t>
  </si>
  <si>
    <t>Months 10+</t>
  </si>
  <si>
    <t>Mainstream</t>
  </si>
  <si>
    <t>Content, partnerships</t>
  </si>
  <si>
    <t>North America, Europe</t>
  </si>
  <si>
    <t>Fee-fatigued professionals</t>
  </si>
  <si>
    <t>YEAR 1 TOTAL</t>
  </si>
  <si>
    <t>Shareholder</t>
  </si>
  <si>
    <t>Role</t>
  </si>
  <si>
    <t>Pre-Money Equity (%)</t>
  </si>
  <si>
    <t>Post-Money Equity (%)</t>
  </si>
  <si>
    <t>Vesting</t>
  </si>
  <si>
    <t>Notes</t>
  </si>
  <si>
    <t>Ghiffary Rifqialdi</t>
  </si>
  <si>
    <t>CEO &amp; Founder</t>
  </si>
  <si>
    <t>4-year, 1-year cliff</t>
  </si>
  <si>
    <t>Built entire MVP, paid all costs, vision owner</t>
  </si>
  <si>
    <t>Renard Elyon Imawanto</t>
  </si>
  <si>
    <t>Lead Blockchain Engineer</t>
  </si>
  <si>
    <t>Gasless tx, fee optimization, smart contract</t>
  </si>
  <si>
    <t>Linh</t>
  </si>
  <si>
    <t>COO</t>
  </si>
  <si>
    <t>Product maturation, QA, operations</t>
  </si>
  <si>
    <t>Employee Pool</t>
  </si>
  <si>
    <t>Future hires</t>
  </si>
  <si>
    <t>As granted</t>
  </si>
  <si>
    <t>Reserved for CTO, Marketing Lead, etc.</t>
  </si>
  <si>
    <t>Investors</t>
  </si>
  <si>
    <t>Seed round</t>
  </si>
  <si>
    <t>N/A</t>
  </si>
  <si>
    <t>$500K at $3M post-money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</si>
</sst>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0.0\ &quot;months&quot;"/>
    <numFmt numFmtId="167" formatCode="\$#,##0.00"/>
    <numFmt numFmtId="168" formatCode="\$#,##0.0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4" fillId="2" borderId="0" xfId="0" applyFont="1" applyFill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0" fontId="5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B7" sqref="B7"/>
    </sheetView>
  </sheetViews>
  <sheetFormatPr defaultRowHeight="14.5" x14ac:dyDescent="0.35"/>
  <cols>
    <col min="1" max="1" width="30" customWidth="1"/>
    <col min="2" max="2" width="20" customWidth="1"/>
    <col min="3" max="3" width="40" customWidth="1"/>
  </cols>
  <sheetData>
    <row r="1" spans="1:3" ht="18.5" x14ac:dyDescent="0.45">
      <c r="A1" s="1" t="s">
        <v>0</v>
      </c>
    </row>
    <row r="3" spans="1:3" ht="15.5" x14ac:dyDescent="0.35">
      <c r="A3" s="2" t="s">
        <v>1</v>
      </c>
    </row>
    <row r="4" spans="1:3" x14ac:dyDescent="0.35">
      <c r="A4" t="s">
        <v>2</v>
      </c>
      <c r="B4" s="3">
        <f>Revenue!K7</f>
        <v>1084608</v>
      </c>
      <c r="C4" t="s">
        <v>3</v>
      </c>
    </row>
    <row r="5" spans="1:3" x14ac:dyDescent="0.35">
      <c r="A5" t="s">
        <v>4</v>
      </c>
      <c r="B5" s="3">
        <f>Opex!H22</f>
        <v>836693.39520000003</v>
      </c>
      <c r="C5" t="s">
        <v>5</v>
      </c>
    </row>
    <row r="6" spans="1:3" x14ac:dyDescent="0.35">
      <c r="A6" t="s">
        <v>6</v>
      </c>
      <c r="B6" s="3">
        <f>Capex!F8</f>
        <v>20887.04</v>
      </c>
      <c r="C6" t="s">
        <v>7</v>
      </c>
    </row>
    <row r="7" spans="1:3" x14ac:dyDescent="0.35">
      <c r="A7" t="s">
        <v>8</v>
      </c>
      <c r="B7" s="3">
        <f>B5+B6</f>
        <v>857580.43520000007</v>
      </c>
    </row>
    <row r="8" spans="1:3" x14ac:dyDescent="0.35">
      <c r="A8" s="4" t="s">
        <v>9</v>
      </c>
      <c r="B8" s="5">
        <f>B4-B7</f>
        <v>227027.56479999993</v>
      </c>
    </row>
    <row r="9" spans="1:3" x14ac:dyDescent="0.35">
      <c r="A9" t="s">
        <v>10</v>
      </c>
      <c r="B9" s="6">
        <f>B8/B4</f>
        <v>0.20931761963769394</v>
      </c>
    </row>
    <row r="11" spans="1:3" ht="15.5" x14ac:dyDescent="0.35">
      <c r="A11" s="2" t="s">
        <v>11</v>
      </c>
    </row>
    <row r="12" spans="1:3" x14ac:dyDescent="0.35">
      <c r="A12" t="s">
        <v>12</v>
      </c>
      <c r="B12" s="3">
        <f>Opex!G7</f>
        <v>719.28960000000006</v>
      </c>
      <c r="C12" t="s">
        <v>13</v>
      </c>
    </row>
    <row r="13" spans="1:3" x14ac:dyDescent="0.35">
      <c r="A13" t="s">
        <v>14</v>
      </c>
      <c r="B13" s="3">
        <f>B5/12</f>
        <v>69724.449600000007</v>
      </c>
      <c r="C13" t="s">
        <v>15</v>
      </c>
    </row>
    <row r="14" spans="1:3" x14ac:dyDescent="0.35">
      <c r="A14" t="s">
        <v>16</v>
      </c>
      <c r="B14" s="7">
        <f>500000/B13</f>
        <v>7.1710856502766847</v>
      </c>
      <c r="C14" t="s">
        <v>17</v>
      </c>
    </row>
    <row r="15" spans="1:3" x14ac:dyDescent="0.35">
      <c r="A15" t="s">
        <v>18</v>
      </c>
      <c r="B15" t="s">
        <v>19</v>
      </c>
      <c r="C15" t="s">
        <v>20</v>
      </c>
    </row>
    <row r="17" spans="1:3" ht="15.5" x14ac:dyDescent="0.35">
      <c r="A17" s="2" t="s">
        <v>21</v>
      </c>
    </row>
    <row r="18" spans="1:3" x14ac:dyDescent="0.35">
      <c r="A18" t="s">
        <v>22</v>
      </c>
      <c r="B18" t="s">
        <v>23</v>
      </c>
      <c r="C18" t="s">
        <v>24</v>
      </c>
    </row>
    <row r="19" spans="1:3" x14ac:dyDescent="0.35">
      <c r="A19" t="s">
        <v>25</v>
      </c>
      <c r="B19" t="s">
        <v>26</v>
      </c>
      <c r="C1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G6" sqref="G6"/>
    </sheetView>
  </sheetViews>
  <sheetFormatPr defaultRowHeight="14.5" x14ac:dyDescent="0.35"/>
  <cols>
    <col min="1" max="1" width="18" customWidth="1"/>
    <col min="2" max="2" width="15" customWidth="1"/>
    <col min="3" max="3" width="12" customWidth="1"/>
    <col min="4" max="4" width="15" customWidth="1"/>
    <col min="5" max="5" width="18" customWidth="1"/>
    <col min="6" max="7" width="15" customWidth="1"/>
    <col min="8" max="8" width="10" customWidth="1"/>
    <col min="9" max="9" width="15" customWidth="1"/>
    <col min="10" max="11" width="18" customWidth="1"/>
    <col min="12" max="12" width="45" customWidth="1"/>
  </cols>
  <sheetData>
    <row r="1" spans="1:12" x14ac:dyDescent="0.3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  <c r="J1" s="8" t="s">
        <v>37</v>
      </c>
      <c r="K1" s="8" t="s">
        <v>38</v>
      </c>
      <c r="L1" s="8" t="s">
        <v>39</v>
      </c>
    </row>
    <row r="2" spans="1:12" x14ac:dyDescent="0.35">
      <c r="A2" s="4" t="s">
        <v>40</v>
      </c>
    </row>
    <row r="3" spans="1:12" x14ac:dyDescent="0.35">
      <c r="A3" t="s">
        <v>41</v>
      </c>
      <c r="B3">
        <v>832000</v>
      </c>
      <c r="C3" s="6">
        <v>0.01</v>
      </c>
      <c r="D3" s="9">
        <f>B3*C3</f>
        <v>8320</v>
      </c>
      <c r="E3">
        <v>0.2</v>
      </c>
      <c r="F3" s="9">
        <f>D3*E3</f>
        <v>1664</v>
      </c>
      <c r="G3" s="3">
        <v>100</v>
      </c>
      <c r="H3" s="6">
        <v>2.5000000000000001E-2</v>
      </c>
      <c r="I3" s="10">
        <f>G3*H3</f>
        <v>2.5</v>
      </c>
      <c r="J3" s="3">
        <f>F3*I3</f>
        <v>4160</v>
      </c>
      <c r="K3" s="3">
        <f>J3*12</f>
        <v>49920</v>
      </c>
      <c r="L3" t="s">
        <v>42</v>
      </c>
    </row>
    <row r="4" spans="1:12" x14ac:dyDescent="0.35">
      <c r="A4" t="s">
        <v>43</v>
      </c>
      <c r="B4">
        <v>832000</v>
      </c>
      <c r="C4" s="6">
        <v>0.01</v>
      </c>
      <c r="D4" s="9">
        <f>B4*C4</f>
        <v>8320</v>
      </c>
      <c r="E4">
        <v>0.2</v>
      </c>
      <c r="F4" s="9">
        <f>D4*E4</f>
        <v>1664</v>
      </c>
      <c r="G4" s="3">
        <v>100</v>
      </c>
      <c r="H4" s="6">
        <v>2.5000000000000001E-2</v>
      </c>
      <c r="I4" s="10">
        <f>G4*H4</f>
        <v>2.5</v>
      </c>
      <c r="J4" s="3">
        <f>F4*I4</f>
        <v>4160</v>
      </c>
      <c r="K4" s="3">
        <f>J4*12</f>
        <v>49920</v>
      </c>
      <c r="L4" t="s">
        <v>42</v>
      </c>
    </row>
    <row r="5" spans="1:12" x14ac:dyDescent="0.35">
      <c r="A5" t="s">
        <v>44</v>
      </c>
      <c r="B5">
        <v>134000000</v>
      </c>
      <c r="C5" s="6">
        <v>1E-3</v>
      </c>
      <c r="D5" s="9">
        <f>B5*C5</f>
        <v>134000</v>
      </c>
      <c r="E5">
        <v>1.2</v>
      </c>
      <c r="F5" s="9">
        <f>D5*E5</f>
        <v>160800</v>
      </c>
      <c r="G5" s="3">
        <v>50</v>
      </c>
      <c r="H5" s="6">
        <v>0.01</v>
      </c>
      <c r="I5" s="10">
        <f>G5*H5</f>
        <v>0.5</v>
      </c>
      <c r="J5" s="3">
        <f>F5*I5</f>
        <v>80400</v>
      </c>
      <c r="K5" s="3">
        <f>J5*12</f>
        <v>964800</v>
      </c>
      <c r="L5" t="s">
        <v>45</v>
      </c>
    </row>
    <row r="6" spans="1:12" x14ac:dyDescent="0.35">
      <c r="A6" t="s">
        <v>46</v>
      </c>
      <c r="B6">
        <v>832</v>
      </c>
      <c r="C6" s="6">
        <v>1</v>
      </c>
      <c r="D6" s="9">
        <f>B6*C6</f>
        <v>832</v>
      </c>
      <c r="E6">
        <v>0.2</v>
      </c>
      <c r="F6" s="9">
        <f>D6*E6</f>
        <v>166.4</v>
      </c>
      <c r="G6" s="3">
        <v>10</v>
      </c>
      <c r="H6" s="6">
        <v>1</v>
      </c>
      <c r="I6" s="10">
        <f>G6*H6</f>
        <v>10</v>
      </c>
      <c r="J6" s="3">
        <f>F6*I6</f>
        <v>1664</v>
      </c>
      <c r="K6" s="3">
        <f>J6*12</f>
        <v>19968</v>
      </c>
      <c r="L6" t="s">
        <v>47</v>
      </c>
    </row>
    <row r="7" spans="1:12" x14ac:dyDescent="0.35">
      <c r="A7" s="4" t="s">
        <v>48</v>
      </c>
      <c r="C7" s="6"/>
      <c r="D7" s="9"/>
      <c r="F7" s="9">
        <f>SUM(F3:F6)</f>
        <v>164294.39999999999</v>
      </c>
      <c r="G7" s="3"/>
      <c r="H7" s="6"/>
      <c r="I7" s="10"/>
      <c r="J7" s="3">
        <f>SUM(J3:J6)</f>
        <v>90384</v>
      </c>
      <c r="K7" s="3">
        <f>SUM(K3:K6)</f>
        <v>1084608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H22" sqref="H22"/>
    </sheetView>
  </sheetViews>
  <sheetFormatPr defaultRowHeight="14.5" x14ac:dyDescent="0.35"/>
  <cols>
    <col min="1" max="1" width="15" customWidth="1"/>
    <col min="2" max="2" width="25" customWidth="1"/>
    <col min="3" max="3" width="18" customWidth="1"/>
    <col min="4" max="6" width="12" customWidth="1"/>
    <col min="7" max="8" width="18" customWidth="1"/>
    <col min="9" max="9" width="40" customWidth="1"/>
  </cols>
  <sheetData>
    <row r="1" spans="1:9" x14ac:dyDescent="0.35">
      <c r="A1" s="8" t="s">
        <v>28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39</v>
      </c>
    </row>
    <row r="2" spans="1:9" x14ac:dyDescent="0.35">
      <c r="A2" s="11" t="s">
        <v>56</v>
      </c>
    </row>
    <row r="3" spans="1:9" x14ac:dyDescent="0.35">
      <c r="A3" t="s">
        <v>57</v>
      </c>
      <c r="B3" t="s">
        <v>58</v>
      </c>
      <c r="C3" s="12">
        <v>3.5000000000000001E-3</v>
      </c>
      <c r="D3" s="9">
        <v>8320</v>
      </c>
      <c r="E3" t="s">
        <v>59</v>
      </c>
      <c r="F3" t="s">
        <v>60</v>
      </c>
      <c r="G3" s="3">
        <f>C3*D3</f>
        <v>29.12</v>
      </c>
      <c r="H3" s="3">
        <f>G3*12</f>
        <v>349.44</v>
      </c>
      <c r="I3" t="s">
        <v>61</v>
      </c>
    </row>
    <row r="4" spans="1:9" x14ac:dyDescent="0.35">
      <c r="B4" t="s">
        <v>62</v>
      </c>
      <c r="C4" s="12">
        <v>1.5E-3</v>
      </c>
      <c r="D4" s="9">
        <v>8320</v>
      </c>
      <c r="E4" t="s">
        <v>59</v>
      </c>
      <c r="F4" t="s">
        <v>60</v>
      </c>
      <c r="G4" s="3">
        <f>C4*D4</f>
        <v>12.48</v>
      </c>
      <c r="H4" s="3">
        <f>G4*12</f>
        <v>149.76</v>
      </c>
      <c r="I4" t="s">
        <v>63</v>
      </c>
    </row>
    <row r="5" spans="1:9" x14ac:dyDescent="0.35">
      <c r="A5" t="s">
        <v>64</v>
      </c>
      <c r="B5" t="s">
        <v>65</v>
      </c>
      <c r="C5" s="12">
        <v>6.9999999999999999E-4</v>
      </c>
      <c r="D5" s="9">
        <v>168128</v>
      </c>
      <c r="E5" t="s">
        <v>66</v>
      </c>
      <c r="F5" t="s">
        <v>60</v>
      </c>
      <c r="G5" s="3">
        <f>C5*D5</f>
        <v>117.6896</v>
      </c>
      <c r="H5" s="3">
        <f>G5*12</f>
        <v>1412.2752</v>
      </c>
      <c r="I5" t="s">
        <v>67</v>
      </c>
    </row>
    <row r="6" spans="1:9" x14ac:dyDescent="0.35">
      <c r="B6" t="s">
        <v>68</v>
      </c>
      <c r="C6" s="12">
        <v>0.14000000000000001</v>
      </c>
      <c r="D6" s="9">
        <v>4000</v>
      </c>
      <c r="E6" t="s">
        <v>66</v>
      </c>
      <c r="F6" t="s">
        <v>60</v>
      </c>
      <c r="G6" s="3">
        <f>C6*D6</f>
        <v>560</v>
      </c>
      <c r="H6" s="3">
        <f>G6*12</f>
        <v>6720</v>
      </c>
      <c r="I6" t="s">
        <v>69</v>
      </c>
    </row>
    <row r="7" spans="1:9" x14ac:dyDescent="0.35">
      <c r="A7" s="4" t="s">
        <v>70</v>
      </c>
      <c r="C7" s="12"/>
      <c r="D7" s="9"/>
      <c r="G7" s="3">
        <f>SUM(G3:G6)</f>
        <v>719.28960000000006</v>
      </c>
      <c r="H7" s="3">
        <f>SUM(H3:H6)</f>
        <v>8631.4752000000008</v>
      </c>
    </row>
    <row r="8" spans="1:9" x14ac:dyDescent="0.35">
      <c r="C8" s="12"/>
      <c r="D8" s="9"/>
      <c r="G8" s="3"/>
      <c r="H8" s="3"/>
    </row>
    <row r="9" spans="1:9" x14ac:dyDescent="0.35">
      <c r="A9" s="11" t="s">
        <v>71</v>
      </c>
      <c r="C9" s="12"/>
      <c r="D9" s="9"/>
      <c r="G9" s="3"/>
      <c r="H9" s="3"/>
    </row>
    <row r="10" spans="1:9" x14ac:dyDescent="0.35">
      <c r="A10" t="s">
        <v>57</v>
      </c>
      <c r="B10" t="s">
        <v>58</v>
      </c>
      <c r="C10" s="12">
        <v>3.5000000000000001E-3</v>
      </c>
      <c r="D10" s="9">
        <v>8320</v>
      </c>
      <c r="E10" t="s">
        <v>59</v>
      </c>
      <c r="F10" t="s">
        <v>60</v>
      </c>
      <c r="G10" s="3">
        <f t="shared" ref="G10:G21" si="0">C10*D10</f>
        <v>29.12</v>
      </c>
      <c r="H10" s="3">
        <f t="shared" ref="H10:H21" si="1">G10*12</f>
        <v>349.44</v>
      </c>
    </row>
    <row r="11" spans="1:9" x14ac:dyDescent="0.35">
      <c r="B11" t="s">
        <v>62</v>
      </c>
      <c r="C11" s="12">
        <v>1.5E-3</v>
      </c>
      <c r="D11" s="9">
        <v>8320</v>
      </c>
      <c r="E11" t="s">
        <v>59</v>
      </c>
      <c r="F11" t="s">
        <v>60</v>
      </c>
      <c r="G11" s="3">
        <f t="shared" si="0"/>
        <v>12.48</v>
      </c>
      <c r="H11" s="3">
        <f t="shared" si="1"/>
        <v>149.76</v>
      </c>
    </row>
    <row r="12" spans="1:9" x14ac:dyDescent="0.35">
      <c r="A12" t="s">
        <v>64</v>
      </c>
      <c r="B12" t="s">
        <v>65</v>
      </c>
      <c r="C12" s="12">
        <v>6.9999999999999999E-4</v>
      </c>
      <c r="D12" s="9">
        <v>168128</v>
      </c>
      <c r="E12" t="s">
        <v>66</v>
      </c>
      <c r="F12" t="s">
        <v>60</v>
      </c>
      <c r="G12" s="3">
        <f t="shared" si="0"/>
        <v>117.6896</v>
      </c>
      <c r="H12" s="3">
        <f t="shared" si="1"/>
        <v>1412.2752</v>
      </c>
    </row>
    <row r="13" spans="1:9" x14ac:dyDescent="0.35">
      <c r="B13" t="s">
        <v>68</v>
      </c>
      <c r="C13" s="12">
        <v>0.14000000000000001</v>
      </c>
      <c r="D13" s="9">
        <v>4000</v>
      </c>
      <c r="E13" t="s">
        <v>66</v>
      </c>
      <c r="F13" t="s">
        <v>60</v>
      </c>
      <c r="G13" s="3">
        <f t="shared" si="0"/>
        <v>560</v>
      </c>
      <c r="H13" s="3">
        <f t="shared" si="1"/>
        <v>6720</v>
      </c>
    </row>
    <row r="14" spans="1:9" x14ac:dyDescent="0.35">
      <c r="A14" t="s">
        <v>72</v>
      </c>
      <c r="B14" t="s">
        <v>73</v>
      </c>
      <c r="C14" s="12">
        <v>12500</v>
      </c>
      <c r="D14" s="9">
        <v>1</v>
      </c>
      <c r="E14" t="s">
        <v>74</v>
      </c>
      <c r="F14" t="s">
        <v>60</v>
      </c>
      <c r="G14" s="3">
        <f t="shared" si="0"/>
        <v>12500</v>
      </c>
      <c r="H14" s="3">
        <f t="shared" si="1"/>
        <v>150000</v>
      </c>
      <c r="I14" t="s">
        <v>75</v>
      </c>
    </row>
    <row r="15" spans="1:9" x14ac:dyDescent="0.35">
      <c r="B15" t="s">
        <v>76</v>
      </c>
      <c r="C15" s="12">
        <v>12000</v>
      </c>
      <c r="D15" s="9">
        <v>1</v>
      </c>
      <c r="E15" t="s">
        <v>74</v>
      </c>
      <c r="F15" t="s">
        <v>60</v>
      </c>
      <c r="G15" s="3">
        <f t="shared" si="0"/>
        <v>12000</v>
      </c>
      <c r="H15" s="3">
        <f t="shared" si="1"/>
        <v>144000</v>
      </c>
      <c r="I15" t="s">
        <v>77</v>
      </c>
    </row>
    <row r="16" spans="1:9" x14ac:dyDescent="0.35">
      <c r="B16" t="s">
        <v>78</v>
      </c>
      <c r="C16" s="12">
        <v>15000</v>
      </c>
      <c r="D16" s="9">
        <v>1</v>
      </c>
      <c r="E16" t="s">
        <v>74</v>
      </c>
      <c r="F16" t="s">
        <v>60</v>
      </c>
      <c r="G16" s="3">
        <f t="shared" si="0"/>
        <v>15000</v>
      </c>
      <c r="H16" s="3">
        <f t="shared" si="1"/>
        <v>180000</v>
      </c>
      <c r="I16" t="s">
        <v>79</v>
      </c>
    </row>
    <row r="17" spans="1:9" x14ac:dyDescent="0.35">
      <c r="B17" t="s">
        <v>80</v>
      </c>
      <c r="C17" s="12">
        <v>10000</v>
      </c>
      <c r="D17" s="9">
        <v>1</v>
      </c>
      <c r="E17" t="s">
        <v>74</v>
      </c>
      <c r="F17" t="s">
        <v>60</v>
      </c>
      <c r="G17" s="3">
        <f t="shared" si="0"/>
        <v>10000</v>
      </c>
      <c r="H17" s="3">
        <f t="shared" si="1"/>
        <v>120000</v>
      </c>
      <c r="I17" t="s">
        <v>81</v>
      </c>
    </row>
    <row r="18" spans="1:9" x14ac:dyDescent="0.35">
      <c r="B18" t="s">
        <v>82</v>
      </c>
      <c r="C18" s="12">
        <v>15000</v>
      </c>
      <c r="D18" s="9">
        <v>1</v>
      </c>
      <c r="E18" t="s">
        <v>74</v>
      </c>
      <c r="F18" t="s">
        <v>60</v>
      </c>
      <c r="G18" s="3">
        <f t="shared" si="0"/>
        <v>15000</v>
      </c>
      <c r="H18" s="3">
        <f t="shared" si="1"/>
        <v>180000</v>
      </c>
      <c r="I18" t="s">
        <v>83</v>
      </c>
    </row>
    <row r="19" spans="1:9" x14ac:dyDescent="0.35">
      <c r="B19" t="s">
        <v>84</v>
      </c>
      <c r="C19" s="12">
        <v>2500</v>
      </c>
      <c r="D19" s="9">
        <v>1</v>
      </c>
      <c r="E19" t="s">
        <v>74</v>
      </c>
      <c r="F19" t="s">
        <v>60</v>
      </c>
      <c r="G19" s="3">
        <f t="shared" si="0"/>
        <v>2500</v>
      </c>
      <c r="H19" s="3">
        <f t="shared" si="1"/>
        <v>30000</v>
      </c>
      <c r="I19" t="s">
        <v>85</v>
      </c>
    </row>
    <row r="20" spans="1:9" x14ac:dyDescent="0.35">
      <c r="A20" t="s">
        <v>86</v>
      </c>
      <c r="B20" t="s">
        <v>87</v>
      </c>
      <c r="C20" s="12">
        <v>25</v>
      </c>
      <c r="D20" s="9">
        <v>1</v>
      </c>
      <c r="E20" t="s">
        <v>88</v>
      </c>
      <c r="F20" t="s">
        <v>60</v>
      </c>
      <c r="G20" s="3">
        <f t="shared" si="0"/>
        <v>25</v>
      </c>
      <c r="H20" s="3">
        <f t="shared" si="1"/>
        <v>300</v>
      </c>
      <c r="I20" t="s">
        <v>89</v>
      </c>
    </row>
    <row r="21" spans="1:9" x14ac:dyDescent="0.35">
      <c r="B21" t="s">
        <v>90</v>
      </c>
      <c r="C21" s="12">
        <v>0.23799999999999999</v>
      </c>
      <c r="D21" s="9">
        <v>8320</v>
      </c>
      <c r="E21" t="s">
        <v>59</v>
      </c>
      <c r="F21" t="s">
        <v>60</v>
      </c>
      <c r="G21" s="3">
        <f t="shared" si="0"/>
        <v>1980.1599999999999</v>
      </c>
      <c r="H21" s="3">
        <f t="shared" si="1"/>
        <v>23761.919999999998</v>
      </c>
      <c r="I21" t="s">
        <v>91</v>
      </c>
    </row>
    <row r="22" spans="1:9" x14ac:dyDescent="0.35">
      <c r="A22" s="4" t="s">
        <v>92</v>
      </c>
      <c r="C22" s="12"/>
      <c r="D22" s="9"/>
      <c r="G22" s="3">
        <f>SUM(G10:G21)</f>
        <v>69724.449600000007</v>
      </c>
      <c r="H22" s="3">
        <f>SUM(H10:H21)</f>
        <v>836693.39520000003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D2" sqref="D2"/>
    </sheetView>
  </sheetViews>
  <sheetFormatPr defaultRowHeight="14.5" x14ac:dyDescent="0.35"/>
  <cols>
    <col min="1" max="1" width="15" customWidth="1"/>
    <col min="2" max="2" width="25" customWidth="1"/>
    <col min="3" max="3" width="18" customWidth="1"/>
    <col min="4" max="4" width="12" customWidth="1"/>
    <col min="5" max="5" width="10" customWidth="1"/>
    <col min="6" max="6" width="15" customWidth="1"/>
    <col min="7" max="7" width="40" customWidth="1"/>
  </cols>
  <sheetData>
    <row r="1" spans="1:7" x14ac:dyDescent="0.35">
      <c r="A1" s="8" t="s">
        <v>28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93</v>
      </c>
      <c r="G1" s="8" t="s">
        <v>39</v>
      </c>
    </row>
    <row r="2" spans="1:7" x14ac:dyDescent="0.35">
      <c r="A2" t="s">
        <v>86</v>
      </c>
      <c r="B2" t="s">
        <v>94</v>
      </c>
      <c r="C2" s="10">
        <v>150</v>
      </c>
      <c r="D2" s="9">
        <v>2</v>
      </c>
      <c r="E2" t="s">
        <v>74</v>
      </c>
      <c r="F2" s="3">
        <f t="shared" ref="F2:F7" si="0">C2*D2</f>
        <v>300</v>
      </c>
      <c r="G2" t="s">
        <v>95</v>
      </c>
    </row>
    <row r="3" spans="1:7" x14ac:dyDescent="0.35">
      <c r="B3" t="s">
        <v>96</v>
      </c>
      <c r="C3" s="10">
        <v>265</v>
      </c>
      <c r="D3" s="9">
        <v>1</v>
      </c>
      <c r="E3" t="s">
        <v>88</v>
      </c>
      <c r="F3" s="3">
        <f t="shared" si="0"/>
        <v>265</v>
      </c>
      <c r="G3" t="s">
        <v>97</v>
      </c>
    </row>
    <row r="4" spans="1:7" x14ac:dyDescent="0.35">
      <c r="A4" t="s">
        <v>98</v>
      </c>
      <c r="B4" t="s">
        <v>99</v>
      </c>
      <c r="C4" s="10">
        <v>81.36</v>
      </c>
      <c r="D4" s="9">
        <v>1</v>
      </c>
      <c r="E4" t="s">
        <v>100</v>
      </c>
      <c r="F4" s="3">
        <f t="shared" si="0"/>
        <v>81.36</v>
      </c>
      <c r="G4" t="s">
        <v>101</v>
      </c>
    </row>
    <row r="5" spans="1:7" x14ac:dyDescent="0.35">
      <c r="B5" t="s">
        <v>102</v>
      </c>
      <c r="C5" s="10">
        <v>68.680000000000007</v>
      </c>
      <c r="D5" s="9">
        <v>1</v>
      </c>
      <c r="E5" t="s">
        <v>49</v>
      </c>
      <c r="F5" s="3">
        <f t="shared" si="0"/>
        <v>68.680000000000007</v>
      </c>
      <c r="G5" t="s">
        <v>103</v>
      </c>
    </row>
    <row r="6" spans="1:7" x14ac:dyDescent="0.35">
      <c r="A6" t="s">
        <v>57</v>
      </c>
      <c r="B6" t="s">
        <v>104</v>
      </c>
      <c r="C6" s="10">
        <v>172</v>
      </c>
      <c r="D6" s="9">
        <v>1</v>
      </c>
      <c r="E6" t="s">
        <v>49</v>
      </c>
      <c r="F6" s="3">
        <f t="shared" si="0"/>
        <v>172</v>
      </c>
      <c r="G6" t="s">
        <v>105</v>
      </c>
    </row>
    <row r="7" spans="1:7" x14ac:dyDescent="0.35">
      <c r="B7" t="s">
        <v>106</v>
      </c>
      <c r="C7" s="10">
        <v>20000</v>
      </c>
      <c r="D7" s="9">
        <v>1</v>
      </c>
      <c r="E7" t="s">
        <v>49</v>
      </c>
      <c r="F7" s="3">
        <f t="shared" si="0"/>
        <v>20000</v>
      </c>
      <c r="G7" t="s">
        <v>107</v>
      </c>
    </row>
    <row r="8" spans="1:7" x14ac:dyDescent="0.35">
      <c r="A8" s="4" t="s">
        <v>108</v>
      </c>
      <c r="C8" s="10"/>
      <c r="D8" s="9"/>
      <c r="F8" s="3">
        <f>SUM(F2:F7)</f>
        <v>20887.04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selection activeCell="C4" sqref="C4"/>
    </sheetView>
  </sheetViews>
  <sheetFormatPr defaultRowHeight="14.5" x14ac:dyDescent="0.35"/>
  <cols>
    <col min="1" max="1" width="18" customWidth="1"/>
    <col min="2" max="2" width="25" customWidth="1"/>
    <col min="3" max="3" width="15" customWidth="1"/>
    <col min="4" max="4" width="35" customWidth="1"/>
    <col min="5" max="5" width="40" customWidth="1"/>
  </cols>
  <sheetData>
    <row r="1" spans="1:5" x14ac:dyDescent="0.35">
      <c r="A1" s="8" t="s">
        <v>28</v>
      </c>
      <c r="B1" s="8" t="s">
        <v>49</v>
      </c>
      <c r="C1" s="8" t="s">
        <v>109</v>
      </c>
      <c r="D1" s="8" t="s">
        <v>110</v>
      </c>
      <c r="E1" s="8" t="s">
        <v>39</v>
      </c>
    </row>
    <row r="2" spans="1:5" x14ac:dyDescent="0.35">
      <c r="A2" s="4" t="s">
        <v>111</v>
      </c>
      <c r="C2" s="3">
        <v>175000</v>
      </c>
    </row>
    <row r="3" spans="1:5" x14ac:dyDescent="0.35">
      <c r="B3" t="s">
        <v>112</v>
      </c>
      <c r="C3" s="3">
        <v>80000</v>
      </c>
      <c r="D3" t="s">
        <v>113</v>
      </c>
      <c r="E3" t="s">
        <v>114</v>
      </c>
    </row>
    <row r="4" spans="1:5" x14ac:dyDescent="0.35">
      <c r="B4" t="s">
        <v>115</v>
      </c>
      <c r="C4" s="3">
        <v>45000</v>
      </c>
      <c r="D4" t="s">
        <v>116</v>
      </c>
      <c r="E4" t="s">
        <v>117</v>
      </c>
    </row>
    <row r="5" spans="1:5" x14ac:dyDescent="0.35">
      <c r="B5" t="s">
        <v>118</v>
      </c>
      <c r="C5" s="3">
        <v>30000</v>
      </c>
      <c r="D5" t="s">
        <v>119</v>
      </c>
      <c r="E5" t="s">
        <v>120</v>
      </c>
    </row>
    <row r="6" spans="1:5" x14ac:dyDescent="0.35">
      <c r="B6" t="s">
        <v>121</v>
      </c>
      <c r="C6" s="3">
        <v>20000</v>
      </c>
      <c r="D6" t="s">
        <v>122</v>
      </c>
      <c r="E6" t="s">
        <v>123</v>
      </c>
    </row>
    <row r="7" spans="1:5" x14ac:dyDescent="0.35">
      <c r="C7" s="3"/>
    </row>
    <row r="8" spans="1:5" x14ac:dyDescent="0.35">
      <c r="A8" s="4" t="s">
        <v>124</v>
      </c>
      <c r="C8" s="3">
        <v>150000</v>
      </c>
    </row>
    <row r="9" spans="1:5" x14ac:dyDescent="0.35">
      <c r="B9" t="s">
        <v>125</v>
      </c>
      <c r="C9" s="3">
        <v>80000</v>
      </c>
      <c r="D9" t="s">
        <v>126</v>
      </c>
      <c r="E9" t="s">
        <v>127</v>
      </c>
    </row>
    <row r="10" spans="1:5" x14ac:dyDescent="0.35">
      <c r="B10" t="s">
        <v>128</v>
      </c>
      <c r="C10" s="3">
        <v>40000</v>
      </c>
      <c r="D10" t="s">
        <v>129</v>
      </c>
      <c r="E10" t="s">
        <v>130</v>
      </c>
    </row>
    <row r="11" spans="1:5" x14ac:dyDescent="0.35">
      <c r="B11" t="s">
        <v>131</v>
      </c>
      <c r="C11" s="3">
        <v>30000</v>
      </c>
      <c r="D11" t="s">
        <v>132</v>
      </c>
      <c r="E11" t="s">
        <v>133</v>
      </c>
    </row>
    <row r="12" spans="1:5" x14ac:dyDescent="0.35">
      <c r="C12" s="3"/>
    </row>
    <row r="13" spans="1:5" x14ac:dyDescent="0.35">
      <c r="A13" s="4" t="s">
        <v>134</v>
      </c>
      <c r="C13" s="3">
        <v>75000</v>
      </c>
    </row>
    <row r="14" spans="1:5" x14ac:dyDescent="0.35">
      <c r="B14" t="s">
        <v>135</v>
      </c>
      <c r="C14" s="3">
        <v>25000</v>
      </c>
      <c r="D14" t="s">
        <v>136</v>
      </c>
      <c r="E14" t="s">
        <v>137</v>
      </c>
    </row>
    <row r="15" spans="1:5" x14ac:dyDescent="0.35">
      <c r="B15" t="s">
        <v>138</v>
      </c>
      <c r="C15" s="3">
        <v>20000</v>
      </c>
      <c r="D15" t="s">
        <v>139</v>
      </c>
      <c r="E15" t="s">
        <v>140</v>
      </c>
    </row>
    <row r="16" spans="1:5" x14ac:dyDescent="0.35">
      <c r="B16" t="s">
        <v>141</v>
      </c>
      <c r="C16" s="3">
        <v>15000</v>
      </c>
      <c r="D16" t="s">
        <v>142</v>
      </c>
      <c r="E16" t="s">
        <v>143</v>
      </c>
    </row>
    <row r="17" spans="1:5" x14ac:dyDescent="0.35">
      <c r="B17" t="s">
        <v>144</v>
      </c>
      <c r="C17" s="3">
        <v>15000</v>
      </c>
      <c r="D17" t="s">
        <v>145</v>
      </c>
      <c r="E17" t="s">
        <v>146</v>
      </c>
    </row>
    <row r="18" spans="1:5" x14ac:dyDescent="0.35">
      <c r="C18" s="3"/>
    </row>
    <row r="19" spans="1:5" x14ac:dyDescent="0.35">
      <c r="A19" s="4" t="s">
        <v>147</v>
      </c>
      <c r="C19" s="3">
        <v>100000</v>
      </c>
    </row>
    <row r="20" spans="1:5" x14ac:dyDescent="0.35">
      <c r="B20" t="s">
        <v>148</v>
      </c>
      <c r="C20" s="3">
        <v>40000</v>
      </c>
      <c r="D20" t="s">
        <v>149</v>
      </c>
      <c r="E20" t="s">
        <v>150</v>
      </c>
    </row>
    <row r="21" spans="1:5" x14ac:dyDescent="0.35">
      <c r="B21" t="s">
        <v>151</v>
      </c>
      <c r="C21" s="3">
        <v>45000</v>
      </c>
      <c r="D21" t="s">
        <v>152</v>
      </c>
      <c r="E21" t="s">
        <v>153</v>
      </c>
    </row>
    <row r="22" spans="1:5" x14ac:dyDescent="0.35">
      <c r="B22" t="s">
        <v>154</v>
      </c>
      <c r="C22" s="3">
        <v>15000</v>
      </c>
      <c r="D22" t="s">
        <v>155</v>
      </c>
      <c r="E22" t="s">
        <v>156</v>
      </c>
    </row>
    <row r="23" spans="1:5" x14ac:dyDescent="0.35">
      <c r="C23" s="3"/>
    </row>
    <row r="24" spans="1:5" ht="15.5" x14ac:dyDescent="0.35">
      <c r="A24" s="2" t="s">
        <v>157</v>
      </c>
      <c r="C24" s="3">
        <f>C2+C8+C13+C19</f>
        <v>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/>
  </sheetViews>
  <sheetFormatPr defaultRowHeight="14.5" x14ac:dyDescent="0.35"/>
  <cols>
    <col min="1" max="1" width="30" customWidth="1"/>
    <col min="2" max="2" width="15" customWidth="1"/>
    <col min="3" max="3" width="30" customWidth="1"/>
    <col min="4" max="4" width="25" customWidth="1"/>
    <col min="5" max="5" width="12" customWidth="1"/>
    <col min="6" max="7" width="15" customWidth="1"/>
    <col min="8" max="8" width="12" customWidth="1"/>
    <col min="9" max="9" width="15" customWidth="1"/>
    <col min="10" max="10" width="40" customWidth="1"/>
  </cols>
  <sheetData>
    <row r="1" spans="1:10" x14ac:dyDescent="0.35">
      <c r="A1" s="8" t="s">
        <v>158</v>
      </c>
      <c r="B1" s="8" t="s">
        <v>159</v>
      </c>
      <c r="C1" s="8" t="s">
        <v>160</v>
      </c>
      <c r="D1" s="8" t="s">
        <v>161</v>
      </c>
      <c r="E1" s="8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39</v>
      </c>
    </row>
    <row r="2" spans="1:10" x14ac:dyDescent="0.35">
      <c r="A2" s="4" t="s">
        <v>167</v>
      </c>
      <c r="B2" t="s">
        <v>168</v>
      </c>
      <c r="C2" t="s">
        <v>169</v>
      </c>
      <c r="D2" t="s">
        <v>170</v>
      </c>
      <c r="E2" s="9">
        <v>100</v>
      </c>
      <c r="F2" s="3">
        <v>500000</v>
      </c>
      <c r="G2" s="3">
        <v>10000</v>
      </c>
      <c r="H2" s="9">
        <v>100</v>
      </c>
      <c r="I2" s="3">
        <f>G2/H2</f>
        <v>100</v>
      </c>
      <c r="J2" t="s">
        <v>171</v>
      </c>
    </row>
    <row r="3" spans="1:10" x14ac:dyDescent="0.35">
      <c r="C3" t="s">
        <v>172</v>
      </c>
      <c r="E3" s="9"/>
      <c r="F3" s="3"/>
      <c r="G3" s="3"/>
      <c r="H3" s="9"/>
      <c r="I3" s="3"/>
    </row>
    <row r="4" spans="1:10" x14ac:dyDescent="0.35">
      <c r="E4" s="9"/>
      <c r="F4" s="3"/>
      <c r="G4" s="3"/>
      <c r="H4" s="9"/>
      <c r="I4" s="3"/>
    </row>
    <row r="5" spans="1:10" x14ac:dyDescent="0.35">
      <c r="A5" s="4" t="s">
        <v>173</v>
      </c>
      <c r="B5" t="s">
        <v>174</v>
      </c>
      <c r="C5" t="s">
        <v>175</v>
      </c>
      <c r="D5" t="s">
        <v>176</v>
      </c>
      <c r="E5" s="9">
        <v>5000</v>
      </c>
      <c r="F5" s="3">
        <v>5000000</v>
      </c>
      <c r="G5" s="3">
        <v>50000</v>
      </c>
      <c r="H5" s="9">
        <v>5000</v>
      </c>
      <c r="I5" s="3">
        <f>G5/H5</f>
        <v>10</v>
      </c>
      <c r="J5" t="s">
        <v>177</v>
      </c>
    </row>
    <row r="6" spans="1:10" x14ac:dyDescent="0.35">
      <c r="C6" t="s">
        <v>178</v>
      </c>
      <c r="E6" s="9"/>
      <c r="F6" s="3"/>
      <c r="G6" s="3"/>
      <c r="H6" s="9"/>
      <c r="I6" s="3"/>
    </row>
    <row r="7" spans="1:10" x14ac:dyDescent="0.35">
      <c r="E7" s="9"/>
      <c r="F7" s="3"/>
      <c r="G7" s="3"/>
      <c r="H7" s="9"/>
      <c r="I7" s="3"/>
    </row>
    <row r="8" spans="1:10" x14ac:dyDescent="0.35">
      <c r="A8" s="4" t="s">
        <v>179</v>
      </c>
      <c r="B8" t="s">
        <v>180</v>
      </c>
      <c r="C8" t="s">
        <v>181</v>
      </c>
      <c r="D8" t="s">
        <v>182</v>
      </c>
      <c r="E8" s="9">
        <v>50000</v>
      </c>
      <c r="F8" s="3">
        <v>20000000</v>
      </c>
      <c r="G8" s="3">
        <v>90000</v>
      </c>
      <c r="H8" s="9">
        <v>8320</v>
      </c>
      <c r="I8" s="3">
        <f>G8/H8</f>
        <v>10.817307692307692</v>
      </c>
      <c r="J8" t="s">
        <v>183</v>
      </c>
    </row>
    <row r="9" spans="1:10" x14ac:dyDescent="0.35">
      <c r="C9" t="s">
        <v>184</v>
      </c>
      <c r="E9" s="9"/>
      <c r="F9" s="3"/>
      <c r="G9" s="3"/>
      <c r="H9" s="9"/>
      <c r="I9" s="3"/>
    </row>
    <row r="10" spans="1:10" x14ac:dyDescent="0.35">
      <c r="E10" s="9"/>
      <c r="F10" s="3"/>
      <c r="G10" s="3"/>
      <c r="H10" s="9"/>
      <c r="I10" s="3"/>
    </row>
    <row r="11" spans="1:10" x14ac:dyDescent="0.35">
      <c r="A11" s="11" t="s">
        <v>185</v>
      </c>
      <c r="E11" s="9"/>
      <c r="F11" s="3"/>
      <c r="G11" s="3">
        <f>G2+G5+G8</f>
        <v>150000</v>
      </c>
      <c r="H11" s="9">
        <v>8320</v>
      </c>
      <c r="I11" s="3">
        <f>G11/H11</f>
        <v>18.028846153846153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tabSelected="1" workbookViewId="0"/>
  </sheetViews>
  <sheetFormatPr defaultRowHeight="14.5" x14ac:dyDescent="0.35"/>
  <cols>
    <col min="1" max="2" width="25" customWidth="1"/>
    <col min="3" max="5" width="20" customWidth="1"/>
    <col min="6" max="6" width="50" customWidth="1"/>
  </cols>
  <sheetData>
    <row r="1" spans="1:6" x14ac:dyDescent="0.35">
      <c r="A1" s="8" t="s">
        <v>186</v>
      </c>
      <c r="B1" s="8" t="s">
        <v>187</v>
      </c>
      <c r="C1" s="8" t="s">
        <v>188</v>
      </c>
      <c r="D1" s="8" t="s">
        <v>189</v>
      </c>
      <c r="E1" s="8" t="s">
        <v>190</v>
      </c>
      <c r="F1" s="8" t="s">
        <v>191</v>
      </c>
    </row>
    <row r="2" spans="1:6" x14ac:dyDescent="0.35">
      <c r="A2" t="s">
        <v>192</v>
      </c>
      <c r="B2" t="s">
        <v>193</v>
      </c>
      <c r="C2" s="6">
        <v>0.78</v>
      </c>
      <c r="D2" s="6">
        <v>0.65</v>
      </c>
      <c r="E2" t="s">
        <v>194</v>
      </c>
      <c r="F2" t="s">
        <v>195</v>
      </c>
    </row>
    <row r="3" spans="1:6" x14ac:dyDescent="0.35">
      <c r="A3" t="s">
        <v>196</v>
      </c>
      <c r="B3" t="s">
        <v>197</v>
      </c>
      <c r="C3" s="6">
        <v>0.09</v>
      </c>
      <c r="D3" s="6">
        <v>7.4999999999999997E-2</v>
      </c>
      <c r="E3" t="s">
        <v>194</v>
      </c>
      <c r="F3" t="s">
        <v>198</v>
      </c>
    </row>
    <row r="4" spans="1:6" x14ac:dyDescent="0.35">
      <c r="A4" t="s">
        <v>199</v>
      </c>
      <c r="B4" t="s">
        <v>200</v>
      </c>
      <c r="C4" s="6">
        <v>0.08</v>
      </c>
      <c r="D4" s="6">
        <v>6.7000000000000004E-2</v>
      </c>
      <c r="E4" t="s">
        <v>194</v>
      </c>
      <c r="F4" t="s">
        <v>201</v>
      </c>
    </row>
    <row r="5" spans="1:6" x14ac:dyDescent="0.35">
      <c r="A5" t="s">
        <v>202</v>
      </c>
      <c r="B5" t="s">
        <v>203</v>
      </c>
      <c r="C5" s="6">
        <v>0.05</v>
      </c>
      <c r="D5" s="6">
        <v>4.2000000000000003E-2</v>
      </c>
      <c r="E5" t="s">
        <v>204</v>
      </c>
      <c r="F5" t="s">
        <v>205</v>
      </c>
    </row>
    <row r="6" spans="1:6" x14ac:dyDescent="0.35">
      <c r="A6" t="s">
        <v>206</v>
      </c>
      <c r="B6" t="s">
        <v>207</v>
      </c>
      <c r="C6" s="6">
        <v>0</v>
      </c>
      <c r="D6" s="6">
        <v>0.16700000000000001</v>
      </c>
      <c r="E6" t="s">
        <v>208</v>
      </c>
      <c r="F6" t="s">
        <v>209</v>
      </c>
    </row>
    <row r="7" spans="1:6" x14ac:dyDescent="0.35">
      <c r="A7" s="4" t="s">
        <v>157</v>
      </c>
      <c r="C7" s="6">
        <v>1</v>
      </c>
      <c r="D7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Revenue</vt:lpstr>
      <vt:lpstr>Opex</vt:lpstr>
      <vt:lpstr>Capex</vt:lpstr>
      <vt:lpstr>Fund Allocation</vt:lpstr>
      <vt:lpstr>Go-to-Market</vt:lpstr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Ghiffary Rifqialdi</cp:lastModifiedBy>
  <dcterms:created xsi:type="dcterms:W3CDTF">2026-06-15T16:50:58Z</dcterms:created>
  <dcterms:modified xsi:type="dcterms:W3CDTF">2026-06-15T18:45:22Z</dcterms:modified>
</cp:coreProperties>
</file>